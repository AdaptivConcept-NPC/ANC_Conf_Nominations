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2023\Documents\"/>
    </mc:Choice>
  </mc:AlternateContent>
  <bookViews>
    <workbookView xWindow="0" yWindow="0" windowWidth="15345" windowHeight="4545" activeTab="1"/>
  </bookViews>
  <sheets>
    <sheet name="BRANCH NOMI" sheetId="1" r:id="rId1"/>
    <sheet name="TOTAL IN ZONES" sheetId="2" r:id="rId2"/>
    <sheet name="PIE PER ZONE" sheetId="3" r:id="rId3"/>
    <sheet name="OVERAL PIE" sheetId="4" r:id="rId4"/>
    <sheet name="OVERAL GRAPH" sheetId="5" r:id="rId5"/>
    <sheet name="Sheet1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5" i="2" l="1"/>
  <c r="L73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4" i="2"/>
  <c r="L56" i="2" l="1"/>
  <c r="L55" i="2"/>
  <c r="L54" i="2" l="1"/>
  <c r="L51" i="2"/>
  <c r="L52" i="2"/>
  <c r="L53" i="2"/>
  <c r="L76" i="2" l="1"/>
  <c r="L50" i="2"/>
  <c r="L49" i="2"/>
  <c r="L48" i="2"/>
  <c r="L47" i="2"/>
  <c r="L46" i="2"/>
  <c r="L45" i="2"/>
  <c r="L44" i="2"/>
  <c r="L43" i="2"/>
  <c r="L42" i="2"/>
  <c r="L41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C75" i="2" l="1"/>
  <c r="E75" i="2"/>
  <c r="F75" i="2"/>
  <c r="G75" i="2"/>
  <c r="H75" i="2"/>
  <c r="I75" i="2"/>
  <c r="J75" i="2"/>
  <c r="K75" i="2"/>
  <c r="B75" i="2"/>
  <c r="L75" i="2" l="1"/>
  <c r="L40" i="2"/>
</calcChain>
</file>

<file path=xl/sharedStrings.xml><?xml version="1.0" encoding="utf-8"?>
<sst xmlns="http://schemas.openxmlformats.org/spreadsheetml/2006/main" count="637" uniqueCount="230">
  <si>
    <t>Column11</t>
  </si>
  <si>
    <t>Column12</t>
  </si>
  <si>
    <t>2026 EKURHULENI BGM NOMINATIONS</t>
  </si>
  <si>
    <t>AMON NGULELE</t>
  </si>
  <si>
    <t>ANDREW MAPHETO</t>
  </si>
  <si>
    <t>PAUL SEHLOHO</t>
  </si>
  <si>
    <t>BAVUMILE V</t>
  </si>
  <si>
    <t>GRACE FLATHELA</t>
  </si>
  <si>
    <t>ZONE 10</t>
  </si>
  <si>
    <t>DAVID BOPAPE</t>
  </si>
  <si>
    <t>DIZA PHUTHINI</t>
  </si>
  <si>
    <t>OSKA MABIKA</t>
  </si>
  <si>
    <t>WARD 11</t>
  </si>
  <si>
    <t>WARD 12</t>
  </si>
  <si>
    <t>WARD 13</t>
  </si>
  <si>
    <t>WARD 14</t>
  </si>
  <si>
    <t>WARD 15</t>
  </si>
  <si>
    <t>WARD 16</t>
  </si>
  <si>
    <t>WARD 18</t>
  </si>
  <si>
    <t>WARD 19</t>
  </si>
  <si>
    <t>WARD 23</t>
  </si>
  <si>
    <t>WARD 90</t>
  </si>
  <si>
    <t>WARD 92</t>
  </si>
  <si>
    <t>WARD 93</t>
  </si>
  <si>
    <t>WARD 91</t>
  </si>
  <si>
    <t>WARD 104</t>
  </si>
  <si>
    <t>WARD 1</t>
  </si>
  <si>
    <t>WARD 2</t>
  </si>
  <si>
    <t>WARD 5</t>
  </si>
  <si>
    <t>WARD 7</t>
  </si>
  <si>
    <t>WARD 8</t>
  </si>
  <si>
    <t>WARD 9</t>
  </si>
  <si>
    <t>WARD 89</t>
  </si>
  <si>
    <t>WARD 100</t>
  </si>
  <si>
    <t>WARD 102</t>
  </si>
  <si>
    <t>WARD 40</t>
  </si>
  <si>
    <t>WARD 50</t>
  </si>
  <si>
    <t>WARD 21</t>
  </si>
  <si>
    <t>WARD 51</t>
  </si>
  <si>
    <t>WARD 52</t>
  </si>
  <si>
    <t>WARD 53</t>
  </si>
  <si>
    <t>WARD 54</t>
  </si>
  <si>
    <t>WARD 55</t>
  </si>
  <si>
    <t>WARD 56</t>
  </si>
  <si>
    <t>WARD 57</t>
  </si>
  <si>
    <t>WARD 58</t>
  </si>
  <si>
    <t>WARD 20</t>
  </si>
  <si>
    <t>WARD 31</t>
  </si>
  <si>
    <t>WARD 22</t>
  </si>
  <si>
    <t>WARD 32</t>
  </si>
  <si>
    <t>WARD 33</t>
  </si>
  <si>
    <t>WARD 34</t>
  </si>
  <si>
    <t>WARD 35</t>
  </si>
  <si>
    <t>WARD 36</t>
  </si>
  <si>
    <t>WARD 37</t>
  </si>
  <si>
    <t>WARD 38</t>
  </si>
  <si>
    <t>WARD 39</t>
  </si>
  <si>
    <t>WARD 42</t>
  </si>
  <si>
    <t>WARD 94</t>
  </si>
  <si>
    <t>WARD 106</t>
  </si>
  <si>
    <t>WARD 41</t>
  </si>
  <si>
    <t>WARD 43</t>
  </si>
  <si>
    <t>WARD 44</t>
  </si>
  <si>
    <t>WARD 46</t>
  </si>
  <si>
    <t>WARD 47</t>
  </si>
  <si>
    <t>WARD 48</t>
  </si>
  <si>
    <t>WARD 64</t>
  </si>
  <si>
    <t>WARD 95</t>
  </si>
  <si>
    <t>WARD 107</t>
  </si>
  <si>
    <t>WARD 59</t>
  </si>
  <si>
    <t>WARD 60</t>
  </si>
  <si>
    <t>WARD 61</t>
  </si>
  <si>
    <t>WARD 62</t>
  </si>
  <si>
    <t>WARD 63</t>
  </si>
  <si>
    <t>WARD 108</t>
  </si>
  <si>
    <t>SELOPE THEMA</t>
  </si>
  <si>
    <t>WARD 72</t>
  </si>
  <si>
    <t>WARD 74</t>
  </si>
  <si>
    <t>WARD 75</t>
  </si>
  <si>
    <t>WARD 76</t>
  </si>
  <si>
    <t>WARD 77</t>
  </si>
  <si>
    <t>WARD 79</t>
  </si>
  <si>
    <t>WARD 80</t>
  </si>
  <si>
    <t>WARD 97</t>
  </si>
  <si>
    <t>WARD 105</t>
  </si>
  <si>
    <t>WARD 81</t>
  </si>
  <si>
    <t>WARD 82</t>
  </si>
  <si>
    <t>WARD 83</t>
  </si>
  <si>
    <t>WARD 84</t>
  </si>
  <si>
    <t>WARD 85</t>
  </si>
  <si>
    <t>WARD 86</t>
  </si>
  <si>
    <t>WARD 87</t>
  </si>
  <si>
    <t>WARD 88</t>
  </si>
  <si>
    <t>WARD 98</t>
  </si>
  <si>
    <t>WARD 99</t>
  </si>
  <si>
    <t>WARD 111</t>
  </si>
  <si>
    <t>WARD 112</t>
  </si>
  <si>
    <t>WARD 24</t>
  </si>
  <si>
    <t>WARD 25</t>
  </si>
  <si>
    <t>WARD 27</t>
  </si>
  <si>
    <t>WARD 28</t>
  </si>
  <si>
    <t>WARD 29</t>
  </si>
  <si>
    <t>WARD 30</t>
  </si>
  <si>
    <t>WARD73</t>
  </si>
  <si>
    <t>WARD 110</t>
  </si>
  <si>
    <t>WARD 26</t>
  </si>
  <si>
    <t>WARD 68</t>
  </si>
  <si>
    <t>WARD 69</t>
  </si>
  <si>
    <t>WARD 70</t>
  </si>
  <si>
    <t>WARD 71</t>
  </si>
  <si>
    <t>WARD 96</t>
  </si>
  <si>
    <t>DOCTOR XHAKAZA</t>
  </si>
  <si>
    <t>Jongizizwe Dlabathi</t>
  </si>
  <si>
    <t>Jean Sethato</t>
  </si>
  <si>
    <t>Dora Mlambo</t>
  </si>
  <si>
    <t>Nomadlozi Nkosi</t>
  </si>
  <si>
    <t>Phelisa Nkunjana</t>
  </si>
  <si>
    <t>WARD 78 (06/06/2026)</t>
  </si>
  <si>
    <t>WARD 6 (06/06/2026)</t>
  </si>
  <si>
    <t>Jean sethato</t>
  </si>
  <si>
    <t>Noko Bale</t>
  </si>
  <si>
    <t>Cassius Mabasa</t>
  </si>
  <si>
    <t>WARD 4 (07/06/2026)</t>
  </si>
  <si>
    <t>Zanele Nkomo</t>
  </si>
  <si>
    <t>Jongizizwe Nhlabathi</t>
  </si>
  <si>
    <t>WARD 49 (06/06/2026)</t>
  </si>
  <si>
    <t>jongizizwe Dlabathi</t>
  </si>
  <si>
    <t>Goje</t>
  </si>
  <si>
    <t>WARD  67 (</t>
  </si>
  <si>
    <t>Mpho</t>
  </si>
  <si>
    <t>Nomadlozi nkosi</t>
  </si>
  <si>
    <t>Lesiba Mpya</t>
  </si>
  <si>
    <t>Jane Nhlapho</t>
  </si>
  <si>
    <t>Gift Mudau</t>
  </si>
  <si>
    <t>Silence Sibiya</t>
  </si>
  <si>
    <t>Leon</t>
  </si>
  <si>
    <t>Lindiwe Mnguni</t>
  </si>
  <si>
    <t>Gift Patose</t>
  </si>
  <si>
    <t>Lovemore Chauke</t>
  </si>
  <si>
    <t>Nkulule Sidu</t>
  </si>
  <si>
    <t>Sergio Mkefa</t>
  </si>
  <si>
    <t>WARD 17 (06/06/2026)</t>
  </si>
  <si>
    <t>WARD 66 (06/06/2026)</t>
  </si>
  <si>
    <t>WARD 101 (06/06/2026)</t>
  </si>
  <si>
    <t>WARD 103 (06/06/2026)</t>
  </si>
  <si>
    <t>WARD 3 (07/06/2025)</t>
  </si>
  <si>
    <t>WARD 45 (07/06/2026)</t>
  </si>
  <si>
    <t>WARD 65 (06/06/2026)</t>
  </si>
  <si>
    <t>NAMES</t>
  </si>
  <si>
    <t>Cassuis Mabasa</t>
  </si>
  <si>
    <t>BAVUMILE VILAKAZI</t>
  </si>
  <si>
    <t>GRACE FLATELA</t>
  </si>
  <si>
    <t>TOTAL</t>
  </si>
  <si>
    <t>OVERALL PIE CHART</t>
  </si>
  <si>
    <t>Sheila Masemola</t>
  </si>
  <si>
    <t>DOCTOR XHAKZA</t>
  </si>
  <si>
    <t>Clerence</t>
  </si>
  <si>
    <t>France Ranku</t>
  </si>
  <si>
    <t>Itani Ramanzi</t>
  </si>
  <si>
    <t>Boniswa Sandlana</t>
  </si>
  <si>
    <t>Mtumelengi Ndinta</t>
  </si>
  <si>
    <t>Nhlanhla</t>
  </si>
  <si>
    <t>Zanele Dlamini</t>
  </si>
  <si>
    <t>Sarah Mnisi</t>
  </si>
  <si>
    <t xml:space="preserve">Reggie </t>
  </si>
  <si>
    <t>Thandi Nkosi</t>
  </si>
  <si>
    <t>Gift patose</t>
  </si>
  <si>
    <t>ZONAL NOMINATION</t>
  </si>
  <si>
    <t/>
  </si>
  <si>
    <t xml:space="preserve"> </t>
  </si>
  <si>
    <t xml:space="preserve">Nhlanhla </t>
  </si>
  <si>
    <t>Reggie</t>
  </si>
  <si>
    <t>Thandi nkosi</t>
  </si>
  <si>
    <t>Clerrence</t>
  </si>
  <si>
    <t>OTHERS</t>
  </si>
  <si>
    <t>Jongizwe Dlabathi</t>
  </si>
  <si>
    <t>Yolanda Ramolake</t>
  </si>
  <si>
    <t xml:space="preserve">Paulina </t>
  </si>
  <si>
    <t>Fortunate</t>
  </si>
  <si>
    <t>Nokuthula</t>
  </si>
  <si>
    <t>Lucky maile</t>
  </si>
  <si>
    <t>Nogoge</t>
  </si>
  <si>
    <t>Loraine  Harnick</t>
  </si>
  <si>
    <t>Emily Mohlala</t>
  </si>
  <si>
    <t>Nditha</t>
  </si>
  <si>
    <t>Paulina</t>
  </si>
  <si>
    <t>Lucky Maile</t>
  </si>
  <si>
    <t xml:space="preserve">Albert </t>
  </si>
  <si>
    <t>Lehlohonolo</t>
  </si>
  <si>
    <t>Emilly Mohlala</t>
  </si>
  <si>
    <t>Loraine Harnick</t>
  </si>
  <si>
    <t>GRAPH IN NUMBERS CAPTURED = 43</t>
  </si>
  <si>
    <t>Irvine Mohlala</t>
  </si>
  <si>
    <t>Lesiba mpya</t>
  </si>
  <si>
    <t>Dipuo Manike</t>
  </si>
  <si>
    <t>kagiso sebothoma</t>
  </si>
  <si>
    <t>Sipho More</t>
  </si>
  <si>
    <t>kagiso Sebothoma</t>
  </si>
  <si>
    <t>Irvin mohlala</t>
  </si>
  <si>
    <t>Mbolekwa</t>
  </si>
  <si>
    <t>Nsizwe Mankge</t>
  </si>
  <si>
    <t>Mzwakhe Nkambule</t>
  </si>
  <si>
    <t>Robert Mashigo</t>
  </si>
  <si>
    <t>Pinky Magasela</t>
  </si>
  <si>
    <t>Andile Dem</t>
  </si>
  <si>
    <t>Bongani Kraai</t>
  </si>
  <si>
    <t>Lucky khumalo</t>
  </si>
  <si>
    <t>Busi Khosi</t>
  </si>
  <si>
    <t>Viola Ledwaba</t>
  </si>
  <si>
    <t>Irene Nxumalo</t>
  </si>
  <si>
    <t>Mandisa Phunguzwa</t>
  </si>
  <si>
    <t>Dondolo</t>
  </si>
  <si>
    <t>Anntte Pienaar</t>
  </si>
  <si>
    <t>Vusi Ndlovu</t>
  </si>
  <si>
    <t>Moipone Mhlomgo</t>
  </si>
  <si>
    <t>Mziyanda Mketsu</t>
  </si>
  <si>
    <t>Sergio Mfeka</t>
  </si>
  <si>
    <t>Cassuis Mabunda</t>
  </si>
  <si>
    <t>Lovemore chauke</t>
  </si>
  <si>
    <t>Fikile Khumalo</t>
  </si>
  <si>
    <t>Sizakele Masuku</t>
  </si>
  <si>
    <t>Nsizwe Mekge</t>
  </si>
  <si>
    <t>Robbert Mashego</t>
  </si>
  <si>
    <t>Bongani Kaai</t>
  </si>
  <si>
    <t>Lucky Khumalo</t>
  </si>
  <si>
    <t>mandisa Phunguzwa</t>
  </si>
  <si>
    <t>Annette Pienaar</t>
  </si>
  <si>
    <t>Vusi ndlovu</t>
  </si>
  <si>
    <t>Moipone Mhlongo</t>
  </si>
  <si>
    <t>Sizkele Masuku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</si>
</sst>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color rgb="FFFF0000"/>
      <name val="Calibri"/>
      <family val="2"/>
      <scheme val="minor"/>
    </font>
    <font>
      <sz val="2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7">
    <xf numFmtId="0" fontId="0" fillId="0" borderId="0" xfId="0"/>
    <xf numFmtId="0" fontId="2" fillId="2" borderId="0" xfId="1"/>
    <xf numFmtId="0" fontId="3" fillId="2" borderId="0" xfId="1" applyFont="1"/>
    <xf numFmtId="0" fontId="1" fillId="0" borderId="0" xfId="0" applyFont="1"/>
    <xf numFmtId="0" fontId="4" fillId="0" borderId="0" xfId="0" applyFont="1"/>
    <xf numFmtId="0" fontId="0" fillId="0" borderId="0" xfId="0" applyFont="1"/>
    <xf numFmtId="0" fontId="1" fillId="4" borderId="0" xfId="0" applyFont="1" applyFill="1"/>
    <xf numFmtId="0" fontId="0" fillId="3" borderId="0" xfId="0" applyFill="1"/>
    <xf numFmtId="0" fontId="0" fillId="0" borderId="0" xfId="0" applyNumberFormat="1"/>
    <xf numFmtId="0" fontId="5" fillId="5" borderId="0" xfId="0" applyFont="1" applyFill="1"/>
    <xf numFmtId="0" fontId="0" fillId="5" borderId="0" xfId="0" applyFill="1"/>
    <xf numFmtId="0" fontId="5" fillId="0" borderId="0" xfId="0" applyFont="1"/>
    <xf numFmtId="0" fontId="6" fillId="0" borderId="0" xfId="0" applyFont="1"/>
    <xf numFmtId="0" fontId="0" fillId="0" borderId="0" xfId="0" quotePrefix="1"/>
    <xf numFmtId="0" fontId="1" fillId="0" borderId="0" xfId="0" applyNumberFormat="1" applyFont="1"/>
    <xf numFmtId="0" fontId="7" fillId="6" borderId="0" xfId="0" applyFont="1" applyFill="1"/>
    <xf numFmtId="0" fontId="0" fillId="6" borderId="0" xfId="0" applyFill="1"/>
  </cellXfs>
  <cellStyles count="2">
    <cellStyle name="Accent6" xfId="1" builtinId="49"/>
    <cellStyle name="Normal" xfId="0" builtinId="0"/>
  </cellStyles>
  <dxfs count="15">
    <dxf>
      <numFmt numFmtId="0" formatCode="General"/>
    </dxf>
    <dxf>
      <numFmt numFmtId="0" formatCode="General"/>
    </dxf>
    <dxf>
      <font>
        <b/>
      </font>
      <numFmt numFmtId="0" formatCode="General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'TOTAL IN ZONES'!$D$4</c:f>
              <c:strCache>
                <c:ptCount val="1"/>
                <c:pt idx="0">
                  <c:v>PAUL SEHLOHO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695-4534-BC33-F1F4F8CA7DE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695-4534-BC33-F1F4F8CA7DE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695-4534-BC33-F1F4F8CA7DE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695-4534-BC33-F1F4F8CA7DE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695-4534-BC33-F1F4F8CA7DE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E695-4534-BC33-F1F4F8CA7DE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E695-4534-BC33-F1F4F8CA7DE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E695-4534-BC33-F1F4F8CA7DE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E695-4534-BC33-F1F4F8CA7DE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E695-4534-BC33-F1F4F8CA7DE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E695-4534-BC33-F1F4F8CA7DE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E695-4534-BC33-F1F4F8CA7DE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E695-4534-BC33-F1F4F8CA7DE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E695-4534-BC33-F1F4F8CA7DEE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E695-4534-BC33-F1F4F8CA7DEE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E695-4534-BC33-F1F4F8CA7DEE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E695-4534-BC33-F1F4F8CA7DE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E695-4534-BC33-F1F4F8CA7DEE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E695-4534-BC33-F1F4F8CA7DEE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E695-4534-BC33-F1F4F8CA7DEE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E695-4534-BC33-F1F4F8CA7DEE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7EB6-4C1D-8641-7FC92CBC2640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7EB6-4C1D-8641-7FC92CBC2640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'TOTAL IN ZONES'!$A$5:$A$28</c:f>
              <c:strCache>
                <c:ptCount val="23"/>
                <c:pt idx="0">
                  <c:v>DOCTOR XHAKAZA</c:v>
                </c:pt>
                <c:pt idx="1">
                  <c:v>Jean Sethato</c:v>
                </c:pt>
                <c:pt idx="2">
                  <c:v>Nomadlozi Nkosi</c:v>
                </c:pt>
                <c:pt idx="3">
                  <c:v>Jongizwe Dlabathi</c:v>
                </c:pt>
                <c:pt idx="4">
                  <c:v>Phelisa Nkunjana</c:v>
                </c:pt>
                <c:pt idx="5">
                  <c:v>Dora Mlambo</c:v>
                </c:pt>
                <c:pt idx="6">
                  <c:v>Jane Nhlapho</c:v>
                </c:pt>
                <c:pt idx="7">
                  <c:v>Silence Sibiya</c:v>
                </c:pt>
                <c:pt idx="8">
                  <c:v>Zanele Nkomo</c:v>
                </c:pt>
                <c:pt idx="9">
                  <c:v>Lesiba Mpya</c:v>
                </c:pt>
                <c:pt idx="12">
                  <c:v>OTHERS</c:v>
                </c:pt>
                <c:pt idx="13">
                  <c:v>Sergio Mkefa</c:v>
                </c:pt>
                <c:pt idx="14">
                  <c:v>Gift Patose</c:v>
                </c:pt>
                <c:pt idx="15">
                  <c:v>Goje</c:v>
                </c:pt>
                <c:pt idx="16">
                  <c:v>Lovemore Chauke</c:v>
                </c:pt>
                <c:pt idx="17">
                  <c:v>Gift Mudau</c:v>
                </c:pt>
                <c:pt idx="18">
                  <c:v>Lindiwe Mnguni</c:v>
                </c:pt>
                <c:pt idx="19">
                  <c:v>Mpho</c:v>
                </c:pt>
                <c:pt idx="20">
                  <c:v>Nkulule Sidu</c:v>
                </c:pt>
                <c:pt idx="21">
                  <c:v>Noko Bale</c:v>
                </c:pt>
                <c:pt idx="22">
                  <c:v>Cassuis Mabasa</c:v>
                </c:pt>
              </c:strCache>
            </c:strRef>
          </c:cat>
          <c:val>
            <c:numRef>
              <c:f>'TOTAL IN ZONES'!$D$5:$D$28</c:f>
              <c:numCache>
                <c:formatCode>General</c:formatCode>
                <c:ptCount val="23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2</c:v>
                </c:pt>
                <c:pt idx="9">
                  <c:v>1</c:v>
                </c:pt>
                <c:pt idx="15">
                  <c:v>1</c:v>
                </c:pt>
                <c:pt idx="1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E695-4534-BC33-F1F4F8CA7D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'TOTAL IN ZONES'!$B$4</c:f>
              <c:strCache>
                <c:ptCount val="1"/>
                <c:pt idx="0">
                  <c:v>AMON NGULELE</c:v>
                </c:pt>
              </c:strCache>
            </c:strRef>
          </c:tx>
          <c:dPt>
            <c:idx val="0"/>
            <c:bubble3D val="0"/>
            <c:explosion val="15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99E-4B20-B315-4AF981D3655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99E-4B20-B315-4AF981D3655F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99E-4B20-B315-4AF981D3655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99E-4B20-B315-4AF981D3655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99E-4B20-B315-4AF981D3655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99E-4B20-B315-4AF981D3655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199E-4B20-B315-4AF981D3655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199E-4B20-B315-4AF981D3655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199E-4B20-B315-4AF981D3655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199E-4B20-B315-4AF981D3655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199E-4B20-B315-4AF981D3655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199E-4B20-B315-4AF981D3655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199E-4B20-B315-4AF981D3655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199E-4B20-B315-4AF981D3655F}"/>
              </c:ext>
            </c:extLst>
          </c:dPt>
          <c:dPt>
            <c:idx val="14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199E-4B20-B315-4AF981D3655F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A7E8-4004-A81D-E4696FA40437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A7E8-4004-A81D-E4696FA40437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'TOTAL IN ZONES'!$A$5:$A$22</c:f>
              <c:strCache>
                <c:ptCount val="17"/>
                <c:pt idx="0">
                  <c:v>DOCTOR XHAKAZA</c:v>
                </c:pt>
                <c:pt idx="1">
                  <c:v>Jean Sethato</c:v>
                </c:pt>
                <c:pt idx="2">
                  <c:v>Nomadlozi Nkosi</c:v>
                </c:pt>
                <c:pt idx="3">
                  <c:v>Jongizwe Dlabathi</c:v>
                </c:pt>
                <c:pt idx="4">
                  <c:v>Phelisa Nkunjana</c:v>
                </c:pt>
                <c:pt idx="5">
                  <c:v>Dora Mlambo</c:v>
                </c:pt>
                <c:pt idx="6">
                  <c:v>Jane Nhlapho</c:v>
                </c:pt>
                <c:pt idx="7">
                  <c:v>Silence Sibiya</c:v>
                </c:pt>
                <c:pt idx="8">
                  <c:v>Zanele Nkomo</c:v>
                </c:pt>
                <c:pt idx="9">
                  <c:v>Lesiba Mpya</c:v>
                </c:pt>
                <c:pt idx="12">
                  <c:v>OTHERS</c:v>
                </c:pt>
                <c:pt idx="13">
                  <c:v>Sergio Mkefa</c:v>
                </c:pt>
                <c:pt idx="14">
                  <c:v>Gift Patose</c:v>
                </c:pt>
                <c:pt idx="15">
                  <c:v>Goje</c:v>
                </c:pt>
                <c:pt idx="16">
                  <c:v>Lovemore Chauke</c:v>
                </c:pt>
              </c:strCache>
            </c:strRef>
          </c:cat>
          <c:val>
            <c:numRef>
              <c:f>'TOTAL IN ZONES'!$B$5:$B$22</c:f>
              <c:numCache>
                <c:formatCode>General</c:formatCode>
                <c:ptCount val="17"/>
                <c:pt idx="0">
                  <c:v>9</c:v>
                </c:pt>
                <c:pt idx="1">
                  <c:v>8</c:v>
                </c:pt>
                <c:pt idx="2">
                  <c:v>9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2</c:v>
                </c:pt>
                <c:pt idx="8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199E-4B20-B315-4AF981D365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768503937007874"/>
          <c:y val="0.2452548118985127"/>
          <c:w val="0.45284711286089241"/>
          <c:h val="0.75474518810148727"/>
        </c:manualLayout>
      </c:layout>
      <c:pieChart>
        <c:varyColors val="1"/>
        <c:ser>
          <c:idx val="0"/>
          <c:order val="0"/>
          <c:tx>
            <c:strRef>
              <c:f>'TOTAL IN ZONES'!$C$4</c:f>
              <c:strCache>
                <c:ptCount val="1"/>
                <c:pt idx="0">
                  <c:v>ANDREW MAPHETO</c:v>
                </c:pt>
              </c:strCache>
            </c:strRef>
          </c:tx>
          <c:dPt>
            <c:idx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228-4B5C-A9CE-9A327DF7473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228-4B5C-A9CE-9A327DF74738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228-4B5C-A9CE-9A327DF7473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228-4B5C-A9CE-9A327DF7473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228-4B5C-A9CE-9A327DF7473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2228-4B5C-A9CE-9A327DF7473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2228-4B5C-A9CE-9A327DF7473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2228-4B5C-A9CE-9A327DF7473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2228-4B5C-A9CE-9A327DF7473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2228-4B5C-A9CE-9A327DF7473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2228-4B5C-A9CE-9A327DF7473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2228-4B5C-A9CE-9A327DF74738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2228-4B5C-A9CE-9A327DF74738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2228-4B5C-A9CE-9A327DF74738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2228-4B5C-A9CE-9A327DF74738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2228-4B5C-A9CE-9A327DF74738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2228-4B5C-A9CE-9A327DF74738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2228-4B5C-A9CE-9A327DF74738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2228-4B5C-A9CE-9A327DF74738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2228-4B5C-A9CE-9A327DF74738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2228-4B5C-A9CE-9A327DF74738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559E-4136-9213-C9057EEA414D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559E-4136-9213-C9057EEA414D}"/>
              </c:ext>
            </c:extLst>
          </c:dPt>
          <c:dLbls>
            <c:dLbl>
              <c:idx val="8"/>
              <c:layout>
                <c:manualLayout>
                  <c:x val="-6.9008009858287117E-2"/>
                  <c:y val="-9.768009768009768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228-4B5C-A9CE-9A327DF74738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'TOTAL IN ZONES'!$A$5:$A$28</c:f>
              <c:strCache>
                <c:ptCount val="23"/>
                <c:pt idx="0">
                  <c:v>DOCTOR XHAKAZA</c:v>
                </c:pt>
                <c:pt idx="1">
                  <c:v>Jean Sethato</c:v>
                </c:pt>
                <c:pt idx="2">
                  <c:v>Nomadlozi Nkosi</c:v>
                </c:pt>
                <c:pt idx="3">
                  <c:v>Jongizwe Dlabathi</c:v>
                </c:pt>
                <c:pt idx="4">
                  <c:v>Phelisa Nkunjana</c:v>
                </c:pt>
                <c:pt idx="5">
                  <c:v>Dora Mlambo</c:v>
                </c:pt>
                <c:pt idx="6">
                  <c:v>Jane Nhlapho</c:v>
                </c:pt>
                <c:pt idx="7">
                  <c:v>Silence Sibiya</c:v>
                </c:pt>
                <c:pt idx="8">
                  <c:v>Zanele Nkomo</c:v>
                </c:pt>
                <c:pt idx="9">
                  <c:v>Lesiba Mpya</c:v>
                </c:pt>
                <c:pt idx="12">
                  <c:v>OTHERS</c:v>
                </c:pt>
                <c:pt idx="13">
                  <c:v>Sergio Mkefa</c:v>
                </c:pt>
                <c:pt idx="14">
                  <c:v>Gift Patose</c:v>
                </c:pt>
                <c:pt idx="15">
                  <c:v>Goje</c:v>
                </c:pt>
                <c:pt idx="16">
                  <c:v>Lovemore Chauke</c:v>
                </c:pt>
                <c:pt idx="17">
                  <c:v>Gift Mudau</c:v>
                </c:pt>
                <c:pt idx="18">
                  <c:v>Lindiwe Mnguni</c:v>
                </c:pt>
                <c:pt idx="19">
                  <c:v>Mpho</c:v>
                </c:pt>
                <c:pt idx="20">
                  <c:v>Nkulule Sidu</c:v>
                </c:pt>
                <c:pt idx="21">
                  <c:v>Noko Bale</c:v>
                </c:pt>
                <c:pt idx="22">
                  <c:v>Cassuis Mabasa</c:v>
                </c:pt>
              </c:strCache>
            </c:strRef>
          </c:cat>
          <c:val>
            <c:numRef>
              <c:f>'TOTAL IN ZONES'!$C$5:$C$28</c:f>
              <c:numCache>
                <c:formatCode>General</c:formatCode>
                <c:ptCount val="23"/>
                <c:pt idx="0">
                  <c:v>11</c:v>
                </c:pt>
                <c:pt idx="1">
                  <c:v>8</c:v>
                </c:pt>
                <c:pt idx="2">
                  <c:v>10</c:v>
                </c:pt>
                <c:pt idx="3">
                  <c:v>8</c:v>
                </c:pt>
                <c:pt idx="4">
                  <c:v>3</c:v>
                </c:pt>
                <c:pt idx="5">
                  <c:v>7</c:v>
                </c:pt>
                <c:pt idx="6">
                  <c:v>1</c:v>
                </c:pt>
                <c:pt idx="7">
                  <c:v>4</c:v>
                </c:pt>
                <c:pt idx="8">
                  <c:v>6</c:v>
                </c:pt>
                <c:pt idx="21">
                  <c:v>2</c:v>
                </c:pt>
                <c:pt idx="2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2228-4B5C-A9CE-9A327DF7473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'TOTAL IN ZONES'!$F$4</c:f>
              <c:strCache>
                <c:ptCount val="1"/>
                <c:pt idx="0">
                  <c:v>GRACE FLATELA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B71-4483-B36C-4BAFCAF64F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B71-4483-B36C-4BAFCAF64F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B71-4483-B36C-4BAFCAF64F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B71-4483-B36C-4BAFCAF64F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B71-4483-B36C-4BAFCAF64F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CB71-4483-B36C-4BAFCAF64F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CB71-4483-B36C-4BAFCAF64F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CB71-4483-B36C-4BAFCAF64F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CB71-4483-B36C-4BAFCAF64F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CB71-4483-B36C-4BAFCAF64F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CB71-4483-B36C-4BAFCAF64F3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CB71-4483-B36C-4BAFCAF64F35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CB71-4483-B36C-4BAFCAF64F35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CB71-4483-B36C-4BAFCAF64F35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CB71-4483-B36C-4BAFCAF64F35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CB71-4483-B36C-4BAFCAF64F35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CB71-4483-B36C-4BAFCAF64F35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CB71-4483-B36C-4BAFCAF64F35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CB71-4483-B36C-4BAFCAF64F35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CB71-4483-B36C-4BAFCAF64F35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CB71-4483-B36C-4BAFCAF64F35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4A27-486A-9647-988BD1A57403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4A27-486A-9647-988BD1A57403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'TOTAL IN ZONES'!$A$5:$A$28</c:f>
              <c:strCache>
                <c:ptCount val="23"/>
                <c:pt idx="0">
                  <c:v>DOCTOR XHAKAZA</c:v>
                </c:pt>
                <c:pt idx="1">
                  <c:v>Jean Sethato</c:v>
                </c:pt>
                <c:pt idx="2">
                  <c:v>Nomadlozi Nkosi</c:v>
                </c:pt>
                <c:pt idx="3">
                  <c:v>Jongizwe Dlabathi</c:v>
                </c:pt>
                <c:pt idx="4">
                  <c:v>Phelisa Nkunjana</c:v>
                </c:pt>
                <c:pt idx="5">
                  <c:v>Dora Mlambo</c:v>
                </c:pt>
                <c:pt idx="6">
                  <c:v>Jane Nhlapho</c:v>
                </c:pt>
                <c:pt idx="7">
                  <c:v>Silence Sibiya</c:v>
                </c:pt>
                <c:pt idx="8">
                  <c:v>Zanele Nkomo</c:v>
                </c:pt>
                <c:pt idx="9">
                  <c:v>Lesiba Mpya</c:v>
                </c:pt>
                <c:pt idx="12">
                  <c:v>OTHERS</c:v>
                </c:pt>
                <c:pt idx="13">
                  <c:v>Sergio Mkefa</c:v>
                </c:pt>
                <c:pt idx="14">
                  <c:v>Gift Patose</c:v>
                </c:pt>
                <c:pt idx="15">
                  <c:v>Goje</c:v>
                </c:pt>
                <c:pt idx="16">
                  <c:v>Lovemore Chauke</c:v>
                </c:pt>
                <c:pt idx="17">
                  <c:v>Gift Mudau</c:v>
                </c:pt>
                <c:pt idx="18">
                  <c:v>Lindiwe Mnguni</c:v>
                </c:pt>
                <c:pt idx="19">
                  <c:v>Mpho</c:v>
                </c:pt>
                <c:pt idx="20">
                  <c:v>Nkulule Sidu</c:v>
                </c:pt>
                <c:pt idx="21">
                  <c:v>Noko Bale</c:v>
                </c:pt>
                <c:pt idx="22">
                  <c:v>Cassuis Mabasa</c:v>
                </c:pt>
              </c:strCache>
            </c:strRef>
          </c:cat>
          <c:val>
            <c:numRef>
              <c:f>'TOTAL IN ZONES'!$F$5:$F$28</c:f>
              <c:numCache>
                <c:formatCode>General</c:formatCode>
                <c:ptCount val="23"/>
                <c:pt idx="0">
                  <c:v>6</c:v>
                </c:pt>
                <c:pt idx="1">
                  <c:v>7</c:v>
                </c:pt>
                <c:pt idx="2">
                  <c:v>6</c:v>
                </c:pt>
                <c:pt idx="3">
                  <c:v>6</c:v>
                </c:pt>
                <c:pt idx="4">
                  <c:v>4</c:v>
                </c:pt>
                <c:pt idx="5">
                  <c:v>3</c:v>
                </c:pt>
                <c:pt idx="9">
                  <c:v>1</c:v>
                </c:pt>
                <c:pt idx="13">
                  <c:v>3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2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CB71-4483-B36C-4BAFCAF64F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'TOTAL IN ZONES'!$F$4</c:f>
              <c:strCache>
                <c:ptCount val="1"/>
                <c:pt idx="0">
                  <c:v>GRACE FLATELA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B97-4684-BD2E-433185B120A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B97-4684-BD2E-433185B120A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B97-4684-BD2E-433185B120A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B97-4684-BD2E-433185B120A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B97-4684-BD2E-433185B120A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7B97-4684-BD2E-433185B120A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7B97-4684-BD2E-433185B120A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7B97-4684-BD2E-433185B120A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7B97-4684-BD2E-433185B120A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7B97-4684-BD2E-433185B120A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7B97-4684-BD2E-433185B120A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7B97-4684-BD2E-433185B120AB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7B97-4684-BD2E-433185B120AB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7B97-4684-BD2E-433185B120AB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7B97-4684-BD2E-433185B120AB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7B97-4684-BD2E-433185B120AB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7B97-4684-BD2E-433185B120AB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7B97-4684-BD2E-433185B120AB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7B97-4684-BD2E-433185B120AB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7B97-4684-BD2E-433185B120AB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7B97-4684-BD2E-433185B120AB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7DA0-409B-88A0-A374507E634B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7DA0-409B-88A0-A374507E634B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'TOTAL IN ZONES'!$A$5:$A$28</c:f>
              <c:strCache>
                <c:ptCount val="23"/>
                <c:pt idx="0">
                  <c:v>DOCTOR XHAKAZA</c:v>
                </c:pt>
                <c:pt idx="1">
                  <c:v>Jean Sethato</c:v>
                </c:pt>
                <c:pt idx="2">
                  <c:v>Nomadlozi Nkosi</c:v>
                </c:pt>
                <c:pt idx="3">
                  <c:v>Jongizwe Dlabathi</c:v>
                </c:pt>
                <c:pt idx="4">
                  <c:v>Phelisa Nkunjana</c:v>
                </c:pt>
                <c:pt idx="5">
                  <c:v>Dora Mlambo</c:v>
                </c:pt>
                <c:pt idx="6">
                  <c:v>Jane Nhlapho</c:v>
                </c:pt>
                <c:pt idx="7">
                  <c:v>Silence Sibiya</c:v>
                </c:pt>
                <c:pt idx="8">
                  <c:v>Zanele Nkomo</c:v>
                </c:pt>
                <c:pt idx="9">
                  <c:v>Lesiba Mpya</c:v>
                </c:pt>
                <c:pt idx="12">
                  <c:v>OTHERS</c:v>
                </c:pt>
                <c:pt idx="13">
                  <c:v>Sergio Mkefa</c:v>
                </c:pt>
                <c:pt idx="14">
                  <c:v>Gift Patose</c:v>
                </c:pt>
                <c:pt idx="15">
                  <c:v>Goje</c:v>
                </c:pt>
                <c:pt idx="16">
                  <c:v>Lovemore Chauke</c:v>
                </c:pt>
                <c:pt idx="17">
                  <c:v>Gift Mudau</c:v>
                </c:pt>
                <c:pt idx="18">
                  <c:v>Lindiwe Mnguni</c:v>
                </c:pt>
                <c:pt idx="19">
                  <c:v>Mpho</c:v>
                </c:pt>
                <c:pt idx="20">
                  <c:v>Nkulule Sidu</c:v>
                </c:pt>
                <c:pt idx="21">
                  <c:v>Noko Bale</c:v>
                </c:pt>
                <c:pt idx="22">
                  <c:v>Cassuis Mabasa</c:v>
                </c:pt>
              </c:strCache>
            </c:strRef>
          </c:cat>
          <c:val>
            <c:numRef>
              <c:f>'TOTAL IN ZONES'!$F$5:$F$28</c:f>
              <c:numCache>
                <c:formatCode>General</c:formatCode>
                <c:ptCount val="23"/>
                <c:pt idx="0">
                  <c:v>6</c:v>
                </c:pt>
                <c:pt idx="1">
                  <c:v>7</c:v>
                </c:pt>
                <c:pt idx="2">
                  <c:v>6</c:v>
                </c:pt>
                <c:pt idx="3">
                  <c:v>6</c:v>
                </c:pt>
                <c:pt idx="4">
                  <c:v>4</c:v>
                </c:pt>
                <c:pt idx="5">
                  <c:v>3</c:v>
                </c:pt>
                <c:pt idx="9">
                  <c:v>1</c:v>
                </c:pt>
                <c:pt idx="13">
                  <c:v>3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2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7B97-4684-BD2E-433185B120AB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'TOTAL IN ZONES'!$G$4</c:f>
              <c:strCache>
                <c:ptCount val="1"/>
                <c:pt idx="0">
                  <c:v>ZONE 10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19B-4A36-8677-751E0DDA056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19B-4A36-8677-751E0DDA056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19B-4A36-8677-751E0DDA056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19B-4A36-8677-751E0DDA056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19B-4A36-8677-751E0DDA056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19B-4A36-8677-751E0DDA056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B19B-4A36-8677-751E0DDA056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B19B-4A36-8677-751E0DDA056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B19B-4A36-8677-751E0DDA056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B19B-4A36-8677-751E0DDA056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B19B-4A36-8677-751E0DDA056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B19B-4A36-8677-751E0DDA0569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B19B-4A36-8677-751E0DDA0569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B19B-4A36-8677-751E0DDA0569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B19B-4A36-8677-751E0DDA0569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B19B-4A36-8677-751E0DDA0569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B19B-4A36-8677-751E0DDA0569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B19B-4A36-8677-751E0DDA0569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B19B-4A36-8677-751E0DDA0569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B19B-4A36-8677-751E0DDA0569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B19B-4A36-8677-751E0DDA0569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D8D2-41AC-918C-7DFCDCA4F362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D8D2-41AC-918C-7DFCDCA4F362}"/>
              </c:ext>
            </c:extLst>
          </c:dPt>
          <c:dLbls>
            <c:dLbl>
              <c:idx val="0"/>
              <c:layout>
                <c:manualLayout>
                  <c:x val="5.2777777777777778E-2"/>
                  <c:y val="5.284552845528453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19B-4A36-8677-751E0DDA0569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'TOTAL IN ZONES'!$A$5:$A$28</c:f>
              <c:strCache>
                <c:ptCount val="23"/>
                <c:pt idx="0">
                  <c:v>DOCTOR XHAKAZA</c:v>
                </c:pt>
                <c:pt idx="1">
                  <c:v>Jean Sethato</c:v>
                </c:pt>
                <c:pt idx="2">
                  <c:v>Nomadlozi Nkosi</c:v>
                </c:pt>
                <c:pt idx="3">
                  <c:v>Jongizwe Dlabathi</c:v>
                </c:pt>
                <c:pt idx="4">
                  <c:v>Phelisa Nkunjana</c:v>
                </c:pt>
                <c:pt idx="5">
                  <c:v>Dora Mlambo</c:v>
                </c:pt>
                <c:pt idx="6">
                  <c:v>Jane Nhlapho</c:v>
                </c:pt>
                <c:pt idx="7">
                  <c:v>Silence Sibiya</c:v>
                </c:pt>
                <c:pt idx="8">
                  <c:v>Zanele Nkomo</c:v>
                </c:pt>
                <c:pt idx="9">
                  <c:v>Lesiba Mpya</c:v>
                </c:pt>
                <c:pt idx="12">
                  <c:v>OTHERS</c:v>
                </c:pt>
                <c:pt idx="13">
                  <c:v>Sergio Mkefa</c:v>
                </c:pt>
                <c:pt idx="14">
                  <c:v>Gift Patose</c:v>
                </c:pt>
                <c:pt idx="15">
                  <c:v>Goje</c:v>
                </c:pt>
                <c:pt idx="16">
                  <c:v>Lovemore Chauke</c:v>
                </c:pt>
                <c:pt idx="17">
                  <c:v>Gift Mudau</c:v>
                </c:pt>
                <c:pt idx="18">
                  <c:v>Lindiwe Mnguni</c:v>
                </c:pt>
                <c:pt idx="19">
                  <c:v>Mpho</c:v>
                </c:pt>
                <c:pt idx="20">
                  <c:v>Nkulule Sidu</c:v>
                </c:pt>
                <c:pt idx="21">
                  <c:v>Noko Bale</c:v>
                </c:pt>
                <c:pt idx="22">
                  <c:v>Cassuis Mabasa</c:v>
                </c:pt>
              </c:strCache>
            </c:strRef>
          </c:cat>
          <c:val>
            <c:numRef>
              <c:f>'TOTAL IN ZONES'!$G$5:$G$28</c:f>
              <c:numCache>
                <c:formatCode>General</c:formatCode>
                <c:ptCount val="23"/>
                <c:pt idx="0">
                  <c:v>7</c:v>
                </c:pt>
                <c:pt idx="1">
                  <c:v>6</c:v>
                </c:pt>
                <c:pt idx="2">
                  <c:v>7</c:v>
                </c:pt>
                <c:pt idx="3">
                  <c:v>7</c:v>
                </c:pt>
                <c:pt idx="4">
                  <c:v>6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4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B19B-4A36-8677-751E0DDA05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'TOTAL IN ZONES'!$H$4</c:f>
              <c:strCache>
                <c:ptCount val="1"/>
                <c:pt idx="0">
                  <c:v>SELOPE THEMA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D03-4B8B-9DAC-6032FE6CAE1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D03-4B8B-9DAC-6032FE6CAE1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D03-4B8B-9DAC-6032FE6CAE1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D03-4B8B-9DAC-6032FE6CAE1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D03-4B8B-9DAC-6032FE6CAE1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D03-4B8B-9DAC-6032FE6CAE1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3D03-4B8B-9DAC-6032FE6CAE1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3D03-4B8B-9DAC-6032FE6CAE1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3D03-4B8B-9DAC-6032FE6CAE1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3D03-4B8B-9DAC-6032FE6CAE1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3D03-4B8B-9DAC-6032FE6CAE1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3D03-4B8B-9DAC-6032FE6CAE15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3D03-4B8B-9DAC-6032FE6CAE15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3D03-4B8B-9DAC-6032FE6CAE15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3D03-4B8B-9DAC-6032FE6CAE15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3D03-4B8B-9DAC-6032FE6CAE15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3D03-4B8B-9DAC-6032FE6CAE15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3D03-4B8B-9DAC-6032FE6CAE15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3D03-4B8B-9DAC-6032FE6CAE15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3D03-4B8B-9DAC-6032FE6CAE15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3D03-4B8B-9DAC-6032FE6CAE15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F4CB-4B18-9783-342AE8A21106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F4CB-4B18-9783-342AE8A21106}"/>
              </c:ext>
            </c:extLst>
          </c:dPt>
          <c:dLbls>
            <c:dLbl>
              <c:idx val="0"/>
              <c:layout>
                <c:manualLayout>
                  <c:x val="0.12222222222222222"/>
                  <c:y val="3.703703703703703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D03-4B8B-9DAC-6032FE6CAE15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'TOTAL IN ZONES'!$A$5:$A$28</c:f>
              <c:strCache>
                <c:ptCount val="23"/>
                <c:pt idx="0">
                  <c:v>DOCTOR XHAKAZA</c:v>
                </c:pt>
                <c:pt idx="1">
                  <c:v>Jean Sethato</c:v>
                </c:pt>
                <c:pt idx="2">
                  <c:v>Nomadlozi Nkosi</c:v>
                </c:pt>
                <c:pt idx="3">
                  <c:v>Jongizwe Dlabathi</c:v>
                </c:pt>
                <c:pt idx="4">
                  <c:v>Phelisa Nkunjana</c:v>
                </c:pt>
                <c:pt idx="5">
                  <c:v>Dora Mlambo</c:v>
                </c:pt>
                <c:pt idx="6">
                  <c:v>Jane Nhlapho</c:v>
                </c:pt>
                <c:pt idx="7">
                  <c:v>Silence Sibiya</c:v>
                </c:pt>
                <c:pt idx="8">
                  <c:v>Zanele Nkomo</c:v>
                </c:pt>
                <c:pt idx="9">
                  <c:v>Lesiba Mpya</c:v>
                </c:pt>
                <c:pt idx="12">
                  <c:v>OTHERS</c:v>
                </c:pt>
                <c:pt idx="13">
                  <c:v>Sergio Mkefa</c:v>
                </c:pt>
                <c:pt idx="14">
                  <c:v>Gift Patose</c:v>
                </c:pt>
                <c:pt idx="15">
                  <c:v>Goje</c:v>
                </c:pt>
                <c:pt idx="16">
                  <c:v>Lovemore Chauke</c:v>
                </c:pt>
                <c:pt idx="17">
                  <c:v>Gift Mudau</c:v>
                </c:pt>
                <c:pt idx="18">
                  <c:v>Lindiwe Mnguni</c:v>
                </c:pt>
                <c:pt idx="19">
                  <c:v>Mpho</c:v>
                </c:pt>
                <c:pt idx="20">
                  <c:v>Nkulule Sidu</c:v>
                </c:pt>
                <c:pt idx="21">
                  <c:v>Noko Bale</c:v>
                </c:pt>
                <c:pt idx="22">
                  <c:v>Cassuis Mabasa</c:v>
                </c:pt>
              </c:strCache>
            </c:strRef>
          </c:cat>
          <c:val>
            <c:numRef>
              <c:f>'TOTAL IN ZONES'!$H$5:$H$28</c:f>
              <c:numCache>
                <c:formatCode>General</c:formatCode>
                <c:ptCount val="23"/>
                <c:pt idx="0">
                  <c:v>7</c:v>
                </c:pt>
                <c:pt idx="1">
                  <c:v>6</c:v>
                </c:pt>
                <c:pt idx="2">
                  <c:v>7</c:v>
                </c:pt>
                <c:pt idx="3">
                  <c:v>7</c:v>
                </c:pt>
                <c:pt idx="4">
                  <c:v>5</c:v>
                </c:pt>
                <c:pt idx="5">
                  <c:v>6</c:v>
                </c:pt>
                <c:pt idx="6">
                  <c:v>2</c:v>
                </c:pt>
                <c:pt idx="7">
                  <c:v>1</c:v>
                </c:pt>
                <c:pt idx="9">
                  <c:v>2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3D03-4B8B-9DAC-6032FE6CA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'TOTAL IN ZONES'!$J$4</c:f>
              <c:strCache>
                <c:ptCount val="1"/>
                <c:pt idx="0">
                  <c:v>DIZA PHUTHINI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1EC-419F-AE4A-E0AA7FC47B7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1EC-419F-AE4A-E0AA7FC47B7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1EC-419F-AE4A-E0AA7FC47B7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1EC-419F-AE4A-E0AA7FC47B7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1EC-419F-AE4A-E0AA7FC47B7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1EC-419F-AE4A-E0AA7FC47B7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B1EC-419F-AE4A-E0AA7FC47B7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B1EC-419F-AE4A-E0AA7FC47B7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B1EC-419F-AE4A-E0AA7FC47B7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B1EC-419F-AE4A-E0AA7FC47B7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B1EC-419F-AE4A-E0AA7FC47B7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B1EC-419F-AE4A-E0AA7FC47B7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B1EC-419F-AE4A-E0AA7FC47B73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B1EC-419F-AE4A-E0AA7FC47B73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B1EC-419F-AE4A-E0AA7FC47B73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B1EC-419F-AE4A-E0AA7FC47B73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B1EC-419F-AE4A-E0AA7FC47B73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B1EC-419F-AE4A-E0AA7FC47B73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B1EC-419F-AE4A-E0AA7FC47B73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B1EC-419F-AE4A-E0AA7FC47B73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B1EC-419F-AE4A-E0AA7FC47B73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B900-4CEB-A660-A1FBEA6CE951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B900-4CEB-A660-A1FBEA6CE951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'TOTAL IN ZONES'!$A$5:$A$28</c:f>
              <c:strCache>
                <c:ptCount val="23"/>
                <c:pt idx="0">
                  <c:v>DOCTOR XHAKAZA</c:v>
                </c:pt>
                <c:pt idx="1">
                  <c:v>Jean Sethato</c:v>
                </c:pt>
                <c:pt idx="2">
                  <c:v>Nomadlozi Nkosi</c:v>
                </c:pt>
                <c:pt idx="3">
                  <c:v>Jongizwe Dlabathi</c:v>
                </c:pt>
                <c:pt idx="4">
                  <c:v>Phelisa Nkunjana</c:v>
                </c:pt>
                <c:pt idx="5">
                  <c:v>Dora Mlambo</c:v>
                </c:pt>
                <c:pt idx="6">
                  <c:v>Jane Nhlapho</c:v>
                </c:pt>
                <c:pt idx="7">
                  <c:v>Silence Sibiya</c:v>
                </c:pt>
                <c:pt idx="8">
                  <c:v>Zanele Nkomo</c:v>
                </c:pt>
                <c:pt idx="9">
                  <c:v>Lesiba Mpya</c:v>
                </c:pt>
                <c:pt idx="12">
                  <c:v>OTHERS</c:v>
                </c:pt>
                <c:pt idx="13">
                  <c:v>Sergio Mkefa</c:v>
                </c:pt>
                <c:pt idx="14">
                  <c:v>Gift Patose</c:v>
                </c:pt>
                <c:pt idx="15">
                  <c:v>Goje</c:v>
                </c:pt>
                <c:pt idx="16">
                  <c:v>Lovemore Chauke</c:v>
                </c:pt>
                <c:pt idx="17">
                  <c:v>Gift Mudau</c:v>
                </c:pt>
                <c:pt idx="18">
                  <c:v>Lindiwe Mnguni</c:v>
                </c:pt>
                <c:pt idx="19">
                  <c:v>Mpho</c:v>
                </c:pt>
                <c:pt idx="20">
                  <c:v>Nkulule Sidu</c:v>
                </c:pt>
                <c:pt idx="21">
                  <c:v>Noko Bale</c:v>
                </c:pt>
                <c:pt idx="22">
                  <c:v>Cassuis Mabasa</c:v>
                </c:pt>
              </c:strCache>
            </c:strRef>
          </c:cat>
          <c:val>
            <c:numRef>
              <c:f>'TOTAL IN ZONES'!$J$5:$J$28</c:f>
              <c:numCache>
                <c:formatCode>General</c:formatCode>
                <c:ptCount val="23"/>
                <c:pt idx="0">
                  <c:v>5</c:v>
                </c:pt>
                <c:pt idx="1">
                  <c:v>4</c:v>
                </c:pt>
                <c:pt idx="2">
                  <c:v>5</c:v>
                </c:pt>
                <c:pt idx="3">
                  <c:v>3</c:v>
                </c:pt>
                <c:pt idx="4">
                  <c:v>5</c:v>
                </c:pt>
                <c:pt idx="6">
                  <c:v>3</c:v>
                </c:pt>
                <c:pt idx="7">
                  <c:v>1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B1EC-419F-AE4A-E0AA7FC47B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'TOTAL IN ZONES'!$K$4</c:f>
              <c:strCache>
                <c:ptCount val="1"/>
                <c:pt idx="0">
                  <c:v>OSKA MABIKA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D49-48BD-BCB5-C434BD347DE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D49-48BD-BCB5-C434BD347DE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D49-48BD-BCB5-C434BD347DE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D49-48BD-BCB5-C434BD347DE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D49-48BD-BCB5-C434BD347DE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D49-48BD-BCB5-C434BD347DE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5D49-48BD-BCB5-C434BD347DE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5D49-48BD-BCB5-C434BD347DE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5D49-48BD-BCB5-C434BD347DE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5D49-48BD-BCB5-C434BD347DE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5D49-48BD-BCB5-C434BD347DE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5D49-48BD-BCB5-C434BD347DEA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5D49-48BD-BCB5-C434BD347DEA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5D49-48BD-BCB5-C434BD347DEA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5D49-48BD-BCB5-C434BD347DEA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5D49-48BD-BCB5-C434BD347DEA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5D49-48BD-BCB5-C434BD347DEA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5D49-48BD-BCB5-C434BD347DEA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5D49-48BD-BCB5-C434BD347DEA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5D49-48BD-BCB5-C434BD347DEA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5D49-48BD-BCB5-C434BD347DEA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1F4B-444F-9026-B3B68B1EDC76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1F4B-444F-9026-B3B68B1EDC76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'TOTAL IN ZONES'!$A$5:$A$28</c:f>
              <c:strCache>
                <c:ptCount val="23"/>
                <c:pt idx="0">
                  <c:v>DOCTOR XHAKAZA</c:v>
                </c:pt>
                <c:pt idx="1">
                  <c:v>Jean Sethato</c:v>
                </c:pt>
                <c:pt idx="2">
                  <c:v>Nomadlozi Nkosi</c:v>
                </c:pt>
                <c:pt idx="3">
                  <c:v>Jongizwe Dlabathi</c:v>
                </c:pt>
                <c:pt idx="4">
                  <c:v>Phelisa Nkunjana</c:v>
                </c:pt>
                <c:pt idx="5">
                  <c:v>Dora Mlambo</c:v>
                </c:pt>
                <c:pt idx="6">
                  <c:v>Jane Nhlapho</c:v>
                </c:pt>
                <c:pt idx="7">
                  <c:v>Silence Sibiya</c:v>
                </c:pt>
                <c:pt idx="8">
                  <c:v>Zanele Nkomo</c:v>
                </c:pt>
                <c:pt idx="9">
                  <c:v>Lesiba Mpya</c:v>
                </c:pt>
                <c:pt idx="12">
                  <c:v>OTHERS</c:v>
                </c:pt>
                <c:pt idx="13">
                  <c:v>Sergio Mkefa</c:v>
                </c:pt>
                <c:pt idx="14">
                  <c:v>Gift Patose</c:v>
                </c:pt>
                <c:pt idx="15">
                  <c:v>Goje</c:v>
                </c:pt>
                <c:pt idx="16">
                  <c:v>Lovemore Chauke</c:v>
                </c:pt>
                <c:pt idx="17">
                  <c:v>Gift Mudau</c:v>
                </c:pt>
                <c:pt idx="18">
                  <c:v>Lindiwe Mnguni</c:v>
                </c:pt>
                <c:pt idx="19">
                  <c:v>Mpho</c:v>
                </c:pt>
                <c:pt idx="20">
                  <c:v>Nkulule Sidu</c:v>
                </c:pt>
                <c:pt idx="21">
                  <c:v>Noko Bale</c:v>
                </c:pt>
                <c:pt idx="22">
                  <c:v>Cassuis Mabasa</c:v>
                </c:pt>
              </c:strCache>
            </c:strRef>
          </c:cat>
          <c:val>
            <c:numRef>
              <c:f>'TOTAL IN ZONES'!$K$5:$K$28</c:f>
              <c:numCache>
                <c:formatCode>General</c:formatCode>
                <c:ptCount val="23"/>
                <c:pt idx="0">
                  <c:v>8</c:v>
                </c:pt>
                <c:pt idx="1">
                  <c:v>7</c:v>
                </c:pt>
                <c:pt idx="2">
                  <c:v>6</c:v>
                </c:pt>
                <c:pt idx="3">
                  <c:v>7</c:v>
                </c:pt>
                <c:pt idx="4">
                  <c:v>6</c:v>
                </c:pt>
                <c:pt idx="5">
                  <c:v>2</c:v>
                </c:pt>
                <c:pt idx="6">
                  <c:v>4</c:v>
                </c:pt>
                <c:pt idx="8">
                  <c:v>1</c:v>
                </c:pt>
                <c:pt idx="9">
                  <c:v>1</c:v>
                </c:pt>
                <c:pt idx="15">
                  <c:v>1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5D49-48BD-BCB5-C434BD347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997307899143775"/>
          <c:y val="0.14089175600037948"/>
          <c:w val="0.42889275277051347"/>
          <c:h val="0.77639929797931884"/>
        </c:manualLayout>
      </c:layout>
      <c:pieChart>
        <c:varyColors val="1"/>
        <c:ser>
          <c:idx val="0"/>
          <c:order val="0"/>
          <c:tx>
            <c:strRef>
              <c:f>'TOTAL IN ZONES'!$L$4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08D-479A-A494-35DAE6DF6D7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08D-479A-A494-35DAE6DF6D7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08D-479A-A494-35DAE6DF6D7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08D-479A-A494-35DAE6DF6D7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08D-479A-A494-35DAE6DF6D7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08D-479A-A494-35DAE6DF6D7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B08D-479A-A494-35DAE6DF6D7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B08D-479A-A494-35DAE6DF6D7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B08D-479A-A494-35DAE6DF6D7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B08D-479A-A494-35DAE6DF6D7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B08D-479A-A494-35DAE6DF6D7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B08D-479A-A494-35DAE6DF6D7C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B08D-479A-A494-35DAE6DF6D7C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B08D-479A-A494-35DAE6DF6D7C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B08D-479A-A494-35DAE6DF6D7C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B08D-479A-A494-35DAE6DF6D7C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B08D-479A-A494-35DAE6DF6D7C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B08D-479A-A494-35DAE6DF6D7C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B08D-479A-A494-35DAE6DF6D7C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B08D-479A-A494-35DAE6DF6D7C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B08D-479A-A494-35DAE6DF6D7C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F5CF-4602-A450-1A94976257DE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F5CF-4602-A450-1A94976257DE}"/>
              </c:ext>
            </c:extLst>
          </c:dPt>
          <c:dLbls>
            <c:dLbl>
              <c:idx val="0"/>
              <c:layout>
                <c:manualLayout>
                  <c:x val="7.6539094812312386E-2"/>
                  <c:y val="1.204819277108433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08D-479A-A494-35DAE6DF6D7C}"/>
                </c:ext>
              </c:extLst>
            </c:dLbl>
            <c:dLbl>
              <c:idx val="4"/>
              <c:layout>
                <c:manualLayout>
                  <c:x val="-0.15418745186828151"/>
                  <c:y val="-4.216867469879517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08D-479A-A494-35DAE6DF6D7C}"/>
                </c:ext>
              </c:extLst>
            </c:dLbl>
            <c:dLbl>
              <c:idx val="5"/>
              <c:layout>
                <c:manualLayout>
                  <c:x val="-2.8840818335074233E-2"/>
                  <c:y val="-0.1244979919678714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08D-479A-A494-35DAE6DF6D7C}"/>
                </c:ext>
              </c:extLst>
            </c:dLbl>
            <c:dLbl>
              <c:idx val="7"/>
              <c:layout>
                <c:manualLayout>
                  <c:x val="-3.3277867309701038E-2"/>
                  <c:y val="-5.421686746987952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B08D-479A-A494-35DAE6DF6D7C}"/>
                </c:ext>
              </c:extLst>
            </c:dLbl>
            <c:dLbl>
              <c:idx val="9"/>
              <c:layout>
                <c:manualLayout>
                  <c:x val="3.3277867309701038E-2"/>
                  <c:y val="6.024096385542168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B08D-479A-A494-35DAE6DF6D7C}"/>
                </c:ext>
              </c:extLst>
            </c:dLbl>
            <c:dLbl>
              <c:idx val="13"/>
              <c:layout>
                <c:manualLayout>
                  <c:x val="-0.15196892738096812"/>
                  <c:y val="-3.614457831325302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B08D-479A-A494-35DAE6DF6D7C}"/>
                </c:ext>
              </c:extLst>
            </c:dLbl>
            <c:dLbl>
              <c:idx val="14"/>
              <c:layout>
                <c:manualLayout>
                  <c:x val="7.6539094812312386E-2"/>
                  <c:y val="2.008032128514056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B08D-479A-A494-35DAE6DF6D7C}"/>
                </c:ext>
              </c:extLst>
            </c:dLbl>
            <c:dLbl>
              <c:idx val="15"/>
              <c:layout>
                <c:manualLayout>
                  <c:x val="8.7631717248879401E-2"/>
                  <c:y val="4.216867469879510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B08D-479A-A494-35DAE6DF6D7C}"/>
                </c:ext>
              </c:extLst>
            </c:dLbl>
            <c:dLbl>
              <c:idx val="16"/>
              <c:layout>
                <c:manualLayout>
                  <c:x val="-4.4370489746268074E-2"/>
                  <c:y val="4.0160642570279655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B08D-479A-A494-35DAE6DF6D7C}"/>
                </c:ext>
              </c:extLst>
            </c:dLbl>
            <c:dLbl>
              <c:idx val="17"/>
              <c:layout>
                <c:manualLayout>
                  <c:x val="2.3294507116790729E-2"/>
                  <c:y val="-0.1586345381526104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B08D-479A-A494-35DAE6DF6D7C}"/>
                </c:ext>
              </c:extLst>
            </c:dLbl>
            <c:dLbl>
              <c:idx val="18"/>
              <c:layout>
                <c:manualLayout>
                  <c:x val="-1.6638933654850519E-2"/>
                  <c:y val="9.437751004016049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B08D-479A-A494-35DAE6DF6D7C}"/>
                </c:ext>
              </c:extLst>
            </c:dLbl>
            <c:dLbl>
              <c:idx val="19"/>
              <c:layout>
                <c:manualLayout>
                  <c:x val="3.327786730970104E-3"/>
                  <c:y val="3.012048192771084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B08D-479A-A494-35DAE6DF6D7C}"/>
                </c:ext>
              </c:extLst>
            </c:dLbl>
            <c:dLbl>
              <c:idx val="20"/>
              <c:layout>
                <c:manualLayout>
                  <c:x val="-0.13422073148246086"/>
                  <c:y val="6.024096385542169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9-B08D-479A-A494-35DAE6DF6D7C}"/>
                </c:ext>
              </c:extLst>
            </c:dLbl>
            <c:dLbl>
              <c:idx val="21"/>
              <c:layout>
                <c:manualLayout>
                  <c:x val="-9.9833601929103122E-2"/>
                  <c:y val="-6.827309236947805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F5CF-4602-A450-1A94976257DE}"/>
                </c:ext>
              </c:extLst>
            </c:dLbl>
            <c:dLbl>
              <c:idx val="22"/>
              <c:layout>
                <c:manualLayout>
                  <c:x val="4.5479751989924752E-2"/>
                  <c:y val="-5.421686746987951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D-F5CF-4602-A450-1A94976257DE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'TOTAL IN ZONES'!$A$5:$A$28</c:f>
              <c:strCache>
                <c:ptCount val="23"/>
                <c:pt idx="0">
                  <c:v>DOCTOR XHAKAZA</c:v>
                </c:pt>
                <c:pt idx="1">
                  <c:v>Jean Sethato</c:v>
                </c:pt>
                <c:pt idx="2">
                  <c:v>Nomadlozi Nkosi</c:v>
                </c:pt>
                <c:pt idx="3">
                  <c:v>Jongizwe Dlabathi</c:v>
                </c:pt>
                <c:pt idx="4">
                  <c:v>Phelisa Nkunjana</c:v>
                </c:pt>
                <c:pt idx="5">
                  <c:v>Dora Mlambo</c:v>
                </c:pt>
                <c:pt idx="6">
                  <c:v>Jane Nhlapho</c:v>
                </c:pt>
                <c:pt idx="7">
                  <c:v>Silence Sibiya</c:v>
                </c:pt>
                <c:pt idx="8">
                  <c:v>Zanele Nkomo</c:v>
                </c:pt>
                <c:pt idx="9">
                  <c:v>Lesiba Mpya</c:v>
                </c:pt>
                <c:pt idx="12">
                  <c:v>OTHERS</c:v>
                </c:pt>
                <c:pt idx="13">
                  <c:v>Sergio Mkefa</c:v>
                </c:pt>
                <c:pt idx="14">
                  <c:v>Gift Patose</c:v>
                </c:pt>
                <c:pt idx="15">
                  <c:v>Goje</c:v>
                </c:pt>
                <c:pt idx="16">
                  <c:v>Lovemore Chauke</c:v>
                </c:pt>
                <c:pt idx="17">
                  <c:v>Gift Mudau</c:v>
                </c:pt>
                <c:pt idx="18">
                  <c:v>Lindiwe Mnguni</c:v>
                </c:pt>
                <c:pt idx="19">
                  <c:v>Mpho</c:v>
                </c:pt>
                <c:pt idx="20">
                  <c:v>Nkulule Sidu</c:v>
                </c:pt>
                <c:pt idx="21">
                  <c:v>Noko Bale</c:v>
                </c:pt>
                <c:pt idx="22">
                  <c:v>Cassuis Mabasa</c:v>
                </c:pt>
              </c:strCache>
            </c:strRef>
          </c:cat>
          <c:val>
            <c:numRef>
              <c:f>'TOTAL IN ZONES'!$L$5:$L$28</c:f>
              <c:numCache>
                <c:formatCode>General</c:formatCode>
                <c:ptCount val="23"/>
                <c:pt idx="0">
                  <c:v>66</c:v>
                </c:pt>
                <c:pt idx="1">
                  <c:v>56</c:v>
                </c:pt>
                <c:pt idx="2">
                  <c:v>61</c:v>
                </c:pt>
                <c:pt idx="3">
                  <c:v>53</c:v>
                </c:pt>
                <c:pt idx="4">
                  <c:v>38</c:v>
                </c:pt>
                <c:pt idx="5">
                  <c:v>30</c:v>
                </c:pt>
                <c:pt idx="6">
                  <c:v>15</c:v>
                </c:pt>
                <c:pt idx="7">
                  <c:v>9</c:v>
                </c:pt>
                <c:pt idx="8">
                  <c:v>13</c:v>
                </c:pt>
                <c:pt idx="9">
                  <c:v>11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</c:v>
                </c:pt>
                <c:pt idx="14">
                  <c:v>2</c:v>
                </c:pt>
                <c:pt idx="15">
                  <c:v>3</c:v>
                </c:pt>
                <c:pt idx="16">
                  <c:v>6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3</c:v>
                </c:pt>
                <c:pt idx="2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B08D-479A-A494-35DAE6DF6D7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'TOTAL IN ZONES'!$L$4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'TOTAL IN ZONES'!$A$5:$A$28</c15:sqref>
                  </c15:fullRef>
                </c:ext>
              </c:extLst>
              <c:f>('TOTAL IN ZONES'!$A$5:$A$17,'TOTAL IN ZONES'!$A$19:$A$28)</c:f>
              <c:strCache>
                <c:ptCount val="22"/>
                <c:pt idx="0">
                  <c:v>DOCTOR XHAKAZA</c:v>
                </c:pt>
                <c:pt idx="1">
                  <c:v>Jean Sethato</c:v>
                </c:pt>
                <c:pt idx="2">
                  <c:v>Nomadlozi Nkosi</c:v>
                </c:pt>
                <c:pt idx="3">
                  <c:v>Jongizwe Dlabathi</c:v>
                </c:pt>
                <c:pt idx="4">
                  <c:v>Phelisa Nkunjana</c:v>
                </c:pt>
                <c:pt idx="5">
                  <c:v>Dora Mlambo</c:v>
                </c:pt>
                <c:pt idx="6">
                  <c:v>Jane Nhlapho</c:v>
                </c:pt>
                <c:pt idx="7">
                  <c:v>Silence Sibiya</c:v>
                </c:pt>
                <c:pt idx="8">
                  <c:v>Zanele Nkomo</c:v>
                </c:pt>
                <c:pt idx="9">
                  <c:v>Lesiba Mpya</c:v>
                </c:pt>
                <c:pt idx="12">
                  <c:v>Sergio Mkefa</c:v>
                </c:pt>
                <c:pt idx="13">
                  <c:v>Gift Patose</c:v>
                </c:pt>
                <c:pt idx="14">
                  <c:v>Goje</c:v>
                </c:pt>
                <c:pt idx="15">
                  <c:v>Lovemore Chauke</c:v>
                </c:pt>
                <c:pt idx="16">
                  <c:v>Gift Mudau</c:v>
                </c:pt>
                <c:pt idx="17">
                  <c:v>Lindiwe Mnguni</c:v>
                </c:pt>
                <c:pt idx="18">
                  <c:v>Mpho</c:v>
                </c:pt>
                <c:pt idx="19">
                  <c:v>Nkulule Sidu</c:v>
                </c:pt>
                <c:pt idx="20">
                  <c:v>Noko Bale</c:v>
                </c:pt>
                <c:pt idx="21">
                  <c:v>Cassuis Mabasa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'TOTAL IN ZONES'!$L$5:$L$28</c15:sqref>
                  </c15:fullRef>
                </c:ext>
              </c:extLst>
              <c:f>('TOTAL IN ZONES'!$L$5:$L$17,'TOTAL IN ZONES'!$L$19:$L$28)</c:f>
              <c:numCache>
                <c:formatCode>General</c:formatCode>
                <c:ptCount val="22"/>
                <c:pt idx="0">
                  <c:v>66</c:v>
                </c:pt>
                <c:pt idx="1">
                  <c:v>56</c:v>
                </c:pt>
                <c:pt idx="2">
                  <c:v>61</c:v>
                </c:pt>
                <c:pt idx="3">
                  <c:v>53</c:v>
                </c:pt>
                <c:pt idx="4">
                  <c:v>38</c:v>
                </c:pt>
                <c:pt idx="5">
                  <c:v>30</c:v>
                </c:pt>
                <c:pt idx="6">
                  <c:v>15</c:v>
                </c:pt>
                <c:pt idx="7">
                  <c:v>9</c:v>
                </c:pt>
                <c:pt idx="8">
                  <c:v>13</c:v>
                </c:pt>
                <c:pt idx="9">
                  <c:v>11</c:v>
                </c:pt>
                <c:pt idx="10">
                  <c:v>0</c:v>
                </c:pt>
                <c:pt idx="11">
                  <c:v>0</c:v>
                </c:pt>
                <c:pt idx="12">
                  <c:v>4</c:v>
                </c:pt>
                <c:pt idx="13">
                  <c:v>2</c:v>
                </c:pt>
                <c:pt idx="14">
                  <c:v>3</c:v>
                </c:pt>
                <c:pt idx="15">
                  <c:v>6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2</c:v>
                </c:pt>
                <c:pt idx="20">
                  <c:v>3</c:v>
                </c:pt>
                <c:pt idx="2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47-4206-926B-1373916F13C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431800239"/>
        <c:axId val="1431811471"/>
        <c:axId val="0"/>
      </c:bar3DChart>
      <c:catAx>
        <c:axId val="1431800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811471"/>
        <c:crosses val="autoZero"/>
        <c:auto val="1"/>
        <c:lblAlgn val="ctr"/>
        <c:lblOffset val="100"/>
        <c:noMultiLvlLbl val="0"/>
      </c:catAx>
      <c:valAx>
        <c:axId val="1431811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800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'TOTAL IN ZONES'!$L$4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explosion val="5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684-41D2-B912-070652EFB950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684-41D2-B912-070652EFB950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684-41D2-B912-070652EFB950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684-41D2-B912-070652EFB950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684-41D2-B912-070652EFB950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684-41D2-B912-070652EFB950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C684-41D2-B912-070652EFB950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C684-41D2-B912-070652EFB950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C684-41D2-B912-070652EFB950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C684-41D2-B912-070652EFB950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C684-41D2-B912-070652EFB950}"/>
              </c:ext>
            </c:extLst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7D12-4DAF-ADFB-C8A0B48878C4}"/>
              </c:ext>
            </c:extLst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7D12-4DAF-ADFB-C8A0B48878C4}"/>
              </c:ext>
            </c:extLst>
          </c:dPt>
          <c:dLbls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684-41D2-B912-070652EFB950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7D12-4DAF-ADFB-C8A0B48878C4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7D12-4DAF-ADFB-C8A0B48878C4}"/>
                </c:ext>
              </c:extLst>
            </c:dLbl>
            <c:spPr>
              <a:solidFill>
                <a:sysClr val="window" lastClr="FFFFFF">
                  <a:alpha val="75000"/>
                </a:sysClr>
              </a:solidFill>
              <a:ln w="9525"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'TOTAL IN ZONES'!$A$5:$A$18</c:f>
              <c:strCache>
                <c:ptCount val="13"/>
                <c:pt idx="0">
                  <c:v>DOCTOR XHAKAZA</c:v>
                </c:pt>
                <c:pt idx="1">
                  <c:v>Jean Sethato</c:v>
                </c:pt>
                <c:pt idx="2">
                  <c:v>Nomadlozi Nkosi</c:v>
                </c:pt>
                <c:pt idx="3">
                  <c:v>Jongizwe Dlabathi</c:v>
                </c:pt>
                <c:pt idx="4">
                  <c:v>Phelisa Nkunjana</c:v>
                </c:pt>
                <c:pt idx="5">
                  <c:v>Dora Mlambo</c:v>
                </c:pt>
                <c:pt idx="6">
                  <c:v>Jane Nhlapho</c:v>
                </c:pt>
                <c:pt idx="7">
                  <c:v>Silence Sibiya</c:v>
                </c:pt>
                <c:pt idx="8">
                  <c:v>Zanele Nkomo</c:v>
                </c:pt>
                <c:pt idx="9">
                  <c:v>Lesiba Mpya</c:v>
                </c:pt>
                <c:pt idx="12">
                  <c:v>OTHERS</c:v>
                </c:pt>
              </c:strCache>
            </c:strRef>
          </c:cat>
          <c:val>
            <c:numRef>
              <c:f>'TOTAL IN ZONES'!$L$5:$L$18</c:f>
              <c:numCache>
                <c:formatCode>General</c:formatCode>
                <c:ptCount val="13"/>
                <c:pt idx="0">
                  <c:v>66</c:v>
                </c:pt>
                <c:pt idx="1">
                  <c:v>56</c:v>
                </c:pt>
                <c:pt idx="2">
                  <c:v>61</c:v>
                </c:pt>
                <c:pt idx="3">
                  <c:v>53</c:v>
                </c:pt>
                <c:pt idx="4">
                  <c:v>38</c:v>
                </c:pt>
                <c:pt idx="5">
                  <c:v>30</c:v>
                </c:pt>
                <c:pt idx="6">
                  <c:v>15</c:v>
                </c:pt>
                <c:pt idx="7">
                  <c:v>9</c:v>
                </c:pt>
                <c:pt idx="8">
                  <c:v>13</c:v>
                </c:pt>
                <c:pt idx="9">
                  <c:v>11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684-41D2-B912-070652EFB9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22</xdr:row>
      <xdr:rowOff>38100</xdr:rowOff>
    </xdr:from>
    <xdr:to>
      <xdr:col>7</xdr:col>
      <xdr:colOff>438150</xdr:colOff>
      <xdr:row>40</xdr:row>
      <xdr:rowOff>23812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</xdr:row>
      <xdr:rowOff>0</xdr:rowOff>
    </xdr:from>
    <xdr:to>
      <xdr:col>7</xdr:col>
      <xdr:colOff>523875</xdr:colOff>
      <xdr:row>20</xdr:row>
      <xdr:rowOff>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342900</xdr:colOff>
      <xdr:row>2</xdr:row>
      <xdr:rowOff>95249</xdr:rowOff>
    </xdr:from>
    <xdr:to>
      <xdr:col>17</xdr:col>
      <xdr:colOff>276225</xdr:colOff>
      <xdr:row>19</xdr:row>
      <xdr:rowOff>142874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21</xdr:row>
      <xdr:rowOff>190499</xdr:rowOff>
    </xdr:from>
    <xdr:to>
      <xdr:col>17</xdr:col>
      <xdr:colOff>595312</xdr:colOff>
      <xdr:row>40</xdr:row>
      <xdr:rowOff>11906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43</xdr:row>
      <xdr:rowOff>0</xdr:rowOff>
    </xdr:from>
    <xdr:to>
      <xdr:col>8</xdr:col>
      <xdr:colOff>523875</xdr:colOff>
      <xdr:row>63</xdr:row>
      <xdr:rowOff>166687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0</xdr:colOff>
      <xdr:row>43</xdr:row>
      <xdr:rowOff>0</xdr:rowOff>
    </xdr:from>
    <xdr:to>
      <xdr:col>19</xdr:col>
      <xdr:colOff>309563</xdr:colOff>
      <xdr:row>64</xdr:row>
      <xdr:rowOff>11906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66</xdr:row>
      <xdr:rowOff>0</xdr:rowOff>
    </xdr:from>
    <xdr:to>
      <xdr:col>8</xdr:col>
      <xdr:colOff>502227</xdr:colOff>
      <xdr:row>87</xdr:row>
      <xdr:rowOff>0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0</xdr:colOff>
      <xdr:row>65</xdr:row>
      <xdr:rowOff>190499</xdr:rowOff>
    </xdr:from>
    <xdr:to>
      <xdr:col>19</xdr:col>
      <xdr:colOff>40698</xdr:colOff>
      <xdr:row>87</xdr:row>
      <xdr:rowOff>69272</xdr:rowOff>
    </xdr:to>
    <xdr:graphicFrame macro="">
      <xdr:nvGraphicFramePr>
        <xdr:cNvPr id="17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91</xdr:row>
      <xdr:rowOff>0</xdr:rowOff>
    </xdr:from>
    <xdr:to>
      <xdr:col>9</xdr:col>
      <xdr:colOff>440748</xdr:colOff>
      <xdr:row>110</xdr:row>
      <xdr:rowOff>95250</xdr:rowOff>
    </xdr:to>
    <xdr:graphicFrame macro="">
      <xdr:nvGraphicFramePr>
        <xdr:cNvPr id="19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3</xdr:row>
      <xdr:rowOff>9525</xdr:rowOff>
    </xdr:from>
    <xdr:to>
      <xdr:col>18</xdr:col>
      <xdr:colOff>533400</xdr:colOff>
      <xdr:row>36</xdr:row>
      <xdr:rowOff>47625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349250</xdr:rowOff>
    </xdr:from>
    <xdr:to>
      <xdr:col>17</xdr:col>
      <xdr:colOff>52916</xdr:colOff>
      <xdr:row>42</xdr:row>
      <xdr:rowOff>28574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104776</xdr:colOff>
      <xdr:row>0</xdr:row>
      <xdr:rowOff>0</xdr:rowOff>
    </xdr:from>
    <xdr:to>
      <xdr:col>14</xdr:col>
      <xdr:colOff>66676</xdr:colOff>
      <xdr:row>26</xdr:row>
      <xdr:rowOff>109539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3" name="Table3" displayName="Table3" ref="A3:L124" totalsRowShown="0" dataDxfId="14">
  <autoFilter ref="A3:L124"/>
  <sortState ref="A4:L37">
    <sortCondition ref="A3:A37"/>
  </sortState>
  <tableColumns count="12">
    <tableColumn id="1" name="AMON NGULELE" dataDxfId="13"/>
    <tableColumn id="2" name="ANDREW MAPHETO" dataDxfId="12"/>
    <tableColumn id="3" name="PAUL SEHLOHO" dataDxfId="11"/>
    <tableColumn id="4" name="BAVUMILE V" dataDxfId="10"/>
    <tableColumn id="5" name="GRACE FLATHELA" dataDxfId="9"/>
    <tableColumn id="6" name="ZONE 10" dataDxfId="8"/>
    <tableColumn id="7" name="SELOPE THEMA" dataDxfId="7"/>
    <tableColumn id="8" name="DAVID BOPAPE" dataDxfId="6"/>
    <tableColumn id="9" name="DIZA PHUTHINI" dataDxfId="5"/>
    <tableColumn id="10" name="OSKA MABIKA" dataDxfId="4"/>
    <tableColumn id="11" name="Column11" dataDxfId="3"/>
    <tableColumn id="12" name="Column12" dataDxfId="2">
      <calculatedColumnFormula>UNIQUE(A5:L126)</calculatedColumnFormula>
    </tableColumn>
  </tableColumns>
  <tableStyleInfo name="TableStyleLight13" showFirstColumn="0" showLastColumn="0" showRowStripes="0" showColumnStripes="1"/>
</table>
</file>

<file path=xl/tables/table2.xml><?xml version="1.0" encoding="utf-8"?>
<table xmlns="http://schemas.openxmlformats.org/spreadsheetml/2006/main" id="5" name="Table5" displayName="Table5" ref="A4:L76" totalsRowShown="0">
  <autoFilter ref="A4:L76">
    <filterColumn colId="0">
      <customFilters>
        <customFilter operator="notEqual" val=" "/>
      </customFilters>
    </filterColumn>
  </autoFilter>
  <sortState ref="A6:L37">
    <sortCondition descending="1" ref="L4:L38"/>
  </sortState>
  <tableColumns count="12">
    <tableColumn id="1" name="NAMES"/>
    <tableColumn id="2" name="AMON NGULELE"/>
    <tableColumn id="3" name="ANDREW MAPHETO"/>
    <tableColumn id="4" name="PAUL SEHLOHO"/>
    <tableColumn id="5" name="BAVUMILE VILAKAZI"/>
    <tableColumn id="6" name="GRACE FLATELA"/>
    <tableColumn id="7" name="ZONE 10" dataDxfId="1"/>
    <tableColumn id="8" name="SELOPE THEMA"/>
    <tableColumn id="9" name="DAVID BOPAPE"/>
    <tableColumn id="10" name="DIZA PHUTHINI"/>
    <tableColumn id="11" name="OSKA MABIKA"/>
    <tableColumn id="12" name="TOTAL" dataDxfId="0">
      <calculatedColumnFormula>SUM(Table5[[#This Row],[AMON NGULELE]:[OSKA MABIKA]])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0"/>
  <sheetViews>
    <sheetView zoomScale="60" zoomScaleNormal="60" workbookViewId="0">
      <pane ySplit="2" topLeftCell="A58" activePane="bottomLeft" state="frozen"/>
      <selection pane="bottomLeft" activeCell="F92" sqref="F92"/>
    </sheetView>
  </sheetViews>
  <sheetFormatPr defaultRowHeight="15" x14ac:dyDescent="0.25"/>
  <cols>
    <col min="1" max="1" width="29.140625" customWidth="1"/>
    <col min="2" max="2" width="30.5703125" customWidth="1"/>
    <col min="3" max="4" width="26" customWidth="1"/>
    <col min="5" max="5" width="26.28515625" customWidth="1"/>
    <col min="6" max="6" width="27.85546875" customWidth="1"/>
    <col min="7" max="7" width="26.85546875" customWidth="1"/>
    <col min="8" max="8" width="25" customWidth="1"/>
    <col min="9" max="9" width="25.28515625" customWidth="1"/>
    <col min="10" max="10" width="26.7109375" customWidth="1"/>
    <col min="11" max="11" width="12" customWidth="1"/>
    <col min="12" max="12" width="21.5703125" customWidth="1"/>
  </cols>
  <sheetData>
    <row r="1" spans="1:12" s="1" customFormat="1" ht="34.5" customHeight="1" x14ac:dyDescent="0.55000000000000004">
      <c r="B1" s="2" t="s">
        <v>2</v>
      </c>
    </row>
    <row r="2" spans="1:12" x14ac:dyDescent="0.25">
      <c r="J2" s="13" t="s">
        <v>168</v>
      </c>
    </row>
    <row r="3" spans="1:12" x14ac:dyDescent="0.25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75</v>
      </c>
      <c r="H3" t="s">
        <v>9</v>
      </c>
      <c r="I3" t="s">
        <v>10</v>
      </c>
      <c r="J3" t="s">
        <v>11</v>
      </c>
      <c r="K3" t="s">
        <v>0</v>
      </c>
      <c r="L3" t="s">
        <v>1</v>
      </c>
    </row>
    <row r="4" spans="1:12" x14ac:dyDescent="0.25">
      <c r="A4" s="6" t="s">
        <v>111</v>
      </c>
      <c r="B4" s="3" t="s">
        <v>26</v>
      </c>
      <c r="C4" s="3" t="s">
        <v>35</v>
      </c>
      <c r="D4" s="3" t="s">
        <v>46</v>
      </c>
      <c r="E4" s="3" t="s">
        <v>60</v>
      </c>
      <c r="F4" s="3" t="s">
        <v>65</v>
      </c>
      <c r="G4" s="3" t="s">
        <v>76</v>
      </c>
      <c r="H4" s="3" t="s">
        <v>85</v>
      </c>
      <c r="I4" s="3" t="s">
        <v>97</v>
      </c>
      <c r="J4" s="3" t="s">
        <v>105</v>
      </c>
      <c r="K4" s="3"/>
      <c r="L4" s="3"/>
    </row>
    <row r="5" spans="1:12" x14ac:dyDescent="0.25">
      <c r="A5" s="5" t="s">
        <v>112</v>
      </c>
      <c r="B5" s="3"/>
      <c r="C5" s="3"/>
      <c r="D5" s="3"/>
      <c r="E5" s="3" t="s">
        <v>111</v>
      </c>
      <c r="F5" s="3" t="s">
        <v>111</v>
      </c>
      <c r="G5" s="6" t="s">
        <v>111</v>
      </c>
      <c r="H5" s="6" t="s">
        <v>155</v>
      </c>
      <c r="I5" s="6" t="s">
        <v>111</v>
      </c>
      <c r="J5" s="5" t="s">
        <v>130</v>
      </c>
      <c r="K5" s="3"/>
      <c r="L5" s="3"/>
    </row>
    <row r="6" spans="1:12" x14ac:dyDescent="0.25">
      <c r="A6" s="5" t="s">
        <v>113</v>
      </c>
      <c r="B6" s="3"/>
      <c r="C6" s="3"/>
      <c r="D6" s="3"/>
      <c r="E6" s="5" t="s">
        <v>193</v>
      </c>
      <c r="F6" s="5" t="s">
        <v>131</v>
      </c>
      <c r="G6" s="5" t="s">
        <v>116</v>
      </c>
      <c r="H6" s="5" t="s">
        <v>113</v>
      </c>
      <c r="I6" s="5" t="s">
        <v>113</v>
      </c>
      <c r="J6" s="5" t="s">
        <v>116</v>
      </c>
      <c r="K6" s="3"/>
      <c r="L6" s="3"/>
    </row>
    <row r="7" spans="1:12" x14ac:dyDescent="0.25">
      <c r="A7" s="5" t="s">
        <v>115</v>
      </c>
      <c r="B7" s="3"/>
      <c r="C7" s="3"/>
      <c r="D7" s="3"/>
      <c r="E7" s="5" t="s">
        <v>112</v>
      </c>
      <c r="F7" s="5" t="s">
        <v>112</v>
      </c>
      <c r="G7" s="5" t="s">
        <v>132</v>
      </c>
      <c r="H7" s="5" t="s">
        <v>112</v>
      </c>
      <c r="I7" s="5" t="s">
        <v>163</v>
      </c>
      <c r="J7" s="6" t="s">
        <v>111</v>
      </c>
      <c r="K7" s="3"/>
      <c r="L7" s="3"/>
    </row>
    <row r="8" spans="1:12" x14ac:dyDescent="0.25">
      <c r="A8" s="5" t="s">
        <v>114</v>
      </c>
      <c r="B8" s="3"/>
      <c r="C8" s="3"/>
      <c r="D8" s="3"/>
      <c r="E8" s="5" t="s">
        <v>115</v>
      </c>
      <c r="F8" s="5" t="s">
        <v>115</v>
      </c>
      <c r="G8" s="5" t="s">
        <v>115</v>
      </c>
      <c r="H8" s="5" t="s">
        <v>115</v>
      </c>
      <c r="I8" s="5" t="s">
        <v>116</v>
      </c>
      <c r="J8" s="5" t="s">
        <v>113</v>
      </c>
      <c r="K8" s="3"/>
      <c r="L8" s="3"/>
    </row>
    <row r="9" spans="1:12" x14ac:dyDescent="0.25">
      <c r="A9" s="5" t="s">
        <v>120</v>
      </c>
      <c r="B9" s="3"/>
      <c r="C9" s="3"/>
      <c r="D9" s="3"/>
      <c r="E9" s="5" t="s">
        <v>113</v>
      </c>
      <c r="F9" s="5" t="s">
        <v>113</v>
      </c>
      <c r="G9" s="5" t="s">
        <v>113</v>
      </c>
      <c r="H9" s="5" t="s">
        <v>183</v>
      </c>
      <c r="I9" s="5" t="s">
        <v>164</v>
      </c>
      <c r="J9" s="5" t="s">
        <v>162</v>
      </c>
      <c r="K9" s="3"/>
      <c r="L9" s="3"/>
    </row>
    <row r="10" spans="1:12" x14ac:dyDescent="0.25">
      <c r="A10" s="3"/>
      <c r="B10" s="3"/>
      <c r="C10" s="3"/>
      <c r="D10" s="3"/>
      <c r="E10" s="5" t="s">
        <v>116</v>
      </c>
      <c r="F10" s="5" t="s">
        <v>116</v>
      </c>
      <c r="G10" s="5" t="s">
        <v>134</v>
      </c>
      <c r="H10" s="5" t="s">
        <v>114</v>
      </c>
      <c r="I10" s="5" t="s">
        <v>159</v>
      </c>
      <c r="J10" s="5" t="s">
        <v>112</v>
      </c>
      <c r="K10" s="3"/>
      <c r="L10" s="3"/>
    </row>
    <row r="11" spans="1:12" x14ac:dyDescent="0.25">
      <c r="A11" s="3"/>
      <c r="B11" s="3"/>
      <c r="C11" s="3"/>
      <c r="D11" s="3"/>
      <c r="E11" s="3"/>
      <c r="F11" s="3"/>
      <c r="G11" s="5"/>
      <c r="H11" s="3"/>
      <c r="I11" s="3"/>
      <c r="J11" s="3"/>
      <c r="K11" s="3"/>
      <c r="L11" s="3"/>
    </row>
    <row r="12" spans="1:12" x14ac:dyDescent="0.25">
      <c r="A12" s="3" t="s">
        <v>12</v>
      </c>
      <c r="B12" s="3" t="s">
        <v>27</v>
      </c>
      <c r="C12" s="3" t="s">
        <v>125</v>
      </c>
      <c r="D12" s="3" t="s">
        <v>37</v>
      </c>
      <c r="E12" s="3" t="s">
        <v>61</v>
      </c>
      <c r="F12" s="3" t="s">
        <v>69</v>
      </c>
      <c r="G12" s="3" t="s">
        <v>77</v>
      </c>
      <c r="H12" s="3" t="s">
        <v>86</v>
      </c>
      <c r="I12" s="3" t="s">
        <v>98</v>
      </c>
      <c r="J12" s="3" t="s">
        <v>147</v>
      </c>
      <c r="K12" s="3"/>
      <c r="L12" s="3"/>
    </row>
    <row r="13" spans="1:12" x14ac:dyDescent="0.25">
      <c r="A13" s="6" t="s">
        <v>111</v>
      </c>
      <c r="B13" s="6" t="s">
        <v>111</v>
      </c>
      <c r="C13" s="5" t="s">
        <v>113</v>
      </c>
      <c r="D13" s="3"/>
      <c r="E13" s="3"/>
      <c r="F13" s="5" t="s">
        <v>157</v>
      </c>
      <c r="G13" s="3" t="s">
        <v>111</v>
      </c>
      <c r="H13" s="5" t="s">
        <v>201</v>
      </c>
      <c r="I13" s="3" t="s">
        <v>111</v>
      </c>
      <c r="J13" s="6" t="s">
        <v>111</v>
      </c>
      <c r="K13" s="3"/>
      <c r="L13" s="3"/>
    </row>
    <row r="14" spans="1:12" x14ac:dyDescent="0.25">
      <c r="A14" s="5" t="s">
        <v>113</v>
      </c>
      <c r="B14" s="5" t="s">
        <v>119</v>
      </c>
      <c r="C14" s="6" t="s">
        <v>111</v>
      </c>
      <c r="D14" s="3"/>
      <c r="E14" s="3"/>
      <c r="F14" s="5" t="s">
        <v>138</v>
      </c>
      <c r="G14" s="5" t="s">
        <v>112</v>
      </c>
      <c r="H14" s="5" t="s">
        <v>202</v>
      </c>
      <c r="I14" s="5" t="s">
        <v>210</v>
      </c>
      <c r="J14" s="5" t="s">
        <v>113</v>
      </c>
      <c r="K14" s="3"/>
      <c r="L14" s="3"/>
    </row>
    <row r="15" spans="1:12" x14ac:dyDescent="0.25">
      <c r="A15" s="5" t="s">
        <v>112</v>
      </c>
      <c r="B15" s="5" t="s">
        <v>115</v>
      </c>
      <c r="C15" s="5" t="s">
        <v>126</v>
      </c>
      <c r="D15" s="3"/>
      <c r="E15" s="3"/>
      <c r="F15" s="6" t="s">
        <v>111</v>
      </c>
      <c r="G15" s="5" t="s">
        <v>113</v>
      </c>
      <c r="H15" s="5" t="s">
        <v>138</v>
      </c>
      <c r="I15" s="5" t="s">
        <v>126</v>
      </c>
      <c r="J15" s="5" t="s">
        <v>116</v>
      </c>
      <c r="K15" s="3"/>
      <c r="L15" s="3"/>
    </row>
    <row r="16" spans="1:12" x14ac:dyDescent="0.25">
      <c r="A16" s="5" t="s">
        <v>115</v>
      </c>
      <c r="B16" s="5" t="s">
        <v>114</v>
      </c>
      <c r="C16" s="5" t="s">
        <v>127</v>
      </c>
      <c r="D16" s="3"/>
      <c r="E16" s="3"/>
      <c r="F16" s="5" t="s">
        <v>131</v>
      </c>
      <c r="G16" s="5" t="s">
        <v>114</v>
      </c>
      <c r="H16" s="5" t="s">
        <v>115</v>
      </c>
      <c r="I16" s="5" t="s">
        <v>115</v>
      </c>
      <c r="J16" s="5" t="s">
        <v>114</v>
      </c>
      <c r="K16" s="3"/>
      <c r="L16" s="3"/>
    </row>
    <row r="17" spans="1:12" x14ac:dyDescent="0.25">
      <c r="A17" s="5" t="s">
        <v>116</v>
      </c>
      <c r="B17" s="5" t="s">
        <v>124</v>
      </c>
      <c r="C17" s="5" t="s">
        <v>116</v>
      </c>
      <c r="D17" s="3"/>
      <c r="E17" s="3"/>
      <c r="F17" s="5" t="s">
        <v>112</v>
      </c>
      <c r="G17" s="5" t="s">
        <v>207</v>
      </c>
      <c r="H17" s="5" t="s">
        <v>203</v>
      </c>
      <c r="I17" s="5" t="s">
        <v>116</v>
      </c>
      <c r="J17" s="5" t="s">
        <v>131</v>
      </c>
      <c r="K17" s="3"/>
      <c r="L17" s="3"/>
    </row>
    <row r="18" spans="1:12" x14ac:dyDescent="0.25">
      <c r="A18" s="5" t="s">
        <v>114</v>
      </c>
      <c r="B18" s="5" t="s">
        <v>121</v>
      </c>
      <c r="C18" s="5" t="s">
        <v>115</v>
      </c>
      <c r="D18" s="3"/>
      <c r="E18" s="3"/>
      <c r="F18" s="5" t="s">
        <v>158</v>
      </c>
      <c r="G18" s="5" t="s">
        <v>115</v>
      </c>
      <c r="H18" s="3"/>
      <c r="I18" s="5" t="s">
        <v>211</v>
      </c>
      <c r="J18" s="5" t="s">
        <v>112</v>
      </c>
      <c r="K18" s="3"/>
      <c r="L18" s="3"/>
    </row>
    <row r="19" spans="1:12" x14ac:dyDescent="0.25">
      <c r="A19" s="3"/>
      <c r="B19" s="3"/>
      <c r="C19" s="3"/>
      <c r="D19" s="3"/>
      <c r="E19" s="3"/>
      <c r="F19" s="3"/>
      <c r="G19" s="3"/>
      <c r="H19" s="3"/>
      <c r="I19" s="3"/>
      <c r="J19" s="5"/>
      <c r="K19" s="3"/>
      <c r="L19" s="3"/>
    </row>
    <row r="20" spans="1:12" x14ac:dyDescent="0.25">
      <c r="A20" s="3" t="s">
        <v>13</v>
      </c>
      <c r="B20" s="3" t="s">
        <v>145</v>
      </c>
      <c r="C20" s="3" t="s">
        <v>36</v>
      </c>
      <c r="D20" s="3" t="s">
        <v>48</v>
      </c>
      <c r="E20" s="3" t="s">
        <v>62</v>
      </c>
      <c r="F20" s="3" t="s">
        <v>70</v>
      </c>
      <c r="G20" s="3" t="s">
        <v>78</v>
      </c>
      <c r="H20" s="3" t="s">
        <v>87</v>
      </c>
      <c r="I20" s="3" t="s">
        <v>99</v>
      </c>
      <c r="J20" s="3" t="s">
        <v>142</v>
      </c>
      <c r="K20" s="3"/>
      <c r="L20" s="3"/>
    </row>
    <row r="21" spans="1:12" x14ac:dyDescent="0.25">
      <c r="A21" s="3"/>
      <c r="B21" s="6" t="s">
        <v>111</v>
      </c>
      <c r="C21" s="3"/>
      <c r="D21" s="3"/>
      <c r="E21" s="6" t="s">
        <v>111</v>
      </c>
      <c r="F21" s="5" t="s">
        <v>115</v>
      </c>
      <c r="G21" s="3"/>
      <c r="H21" s="3"/>
      <c r="I21" s="3"/>
      <c r="J21" s="6" t="s">
        <v>111</v>
      </c>
      <c r="K21" s="3"/>
      <c r="L21" s="3"/>
    </row>
    <row r="22" spans="1:12" x14ac:dyDescent="0.25">
      <c r="A22" s="3"/>
      <c r="B22" s="5" t="s">
        <v>124</v>
      </c>
      <c r="C22" s="3"/>
      <c r="D22" s="3"/>
      <c r="E22" s="5" t="s">
        <v>113</v>
      </c>
      <c r="F22" s="6" t="s">
        <v>111</v>
      </c>
      <c r="G22" s="3"/>
      <c r="H22" s="3"/>
      <c r="I22" s="3"/>
      <c r="J22" s="5" t="s">
        <v>113</v>
      </c>
      <c r="K22" s="3"/>
      <c r="L22" s="3"/>
    </row>
    <row r="23" spans="1:12" x14ac:dyDescent="0.25">
      <c r="A23" s="3"/>
      <c r="B23" s="5" t="s">
        <v>115</v>
      </c>
      <c r="C23" s="3"/>
      <c r="D23" s="3"/>
      <c r="E23" s="5" t="s">
        <v>112</v>
      </c>
      <c r="F23" s="5" t="s">
        <v>113</v>
      </c>
      <c r="G23" s="3"/>
      <c r="H23" s="3"/>
      <c r="I23" s="3"/>
      <c r="J23" s="5" t="s">
        <v>130</v>
      </c>
      <c r="K23" s="3"/>
      <c r="L23" s="3"/>
    </row>
    <row r="24" spans="1:12" x14ac:dyDescent="0.25">
      <c r="A24" s="3"/>
      <c r="B24" s="5" t="s">
        <v>119</v>
      </c>
      <c r="C24" s="3"/>
      <c r="D24" s="3"/>
      <c r="E24" s="5" t="s">
        <v>177</v>
      </c>
      <c r="F24" s="5" t="s">
        <v>112</v>
      </c>
      <c r="G24" s="3"/>
      <c r="H24" s="3"/>
      <c r="I24" s="3"/>
      <c r="J24" s="5" t="s">
        <v>132</v>
      </c>
      <c r="K24" s="3"/>
      <c r="L24" s="3"/>
    </row>
    <row r="25" spans="1:12" x14ac:dyDescent="0.25">
      <c r="A25" s="3"/>
      <c r="B25" s="5" t="s">
        <v>114</v>
      </c>
      <c r="C25" s="3"/>
      <c r="D25" s="3"/>
      <c r="E25" s="5" t="s">
        <v>178</v>
      </c>
      <c r="F25" s="3"/>
      <c r="G25" s="3"/>
      <c r="H25" s="3"/>
      <c r="I25" s="3"/>
      <c r="J25" s="5" t="s">
        <v>116</v>
      </c>
      <c r="K25" s="3"/>
      <c r="L25" s="3"/>
    </row>
    <row r="26" spans="1:12" x14ac:dyDescent="0.25">
      <c r="A26" s="3"/>
      <c r="B26" s="5" t="s">
        <v>132</v>
      </c>
      <c r="C26" s="3"/>
      <c r="D26" s="3"/>
      <c r="E26" s="5" t="s">
        <v>179</v>
      </c>
      <c r="F26" s="3"/>
      <c r="G26" s="3"/>
      <c r="H26" s="3"/>
      <c r="I26" s="3"/>
      <c r="J26" s="5" t="s">
        <v>112</v>
      </c>
      <c r="K26" s="3"/>
      <c r="L26" s="3"/>
    </row>
    <row r="27" spans="1:12" x14ac:dyDescent="0.25">
      <c r="A27" s="3" t="s">
        <v>14</v>
      </c>
      <c r="B27" s="3" t="s">
        <v>122</v>
      </c>
      <c r="C27" s="3" t="s">
        <v>38</v>
      </c>
      <c r="D27" s="3" t="s">
        <v>49</v>
      </c>
      <c r="E27" s="3" t="s">
        <v>146</v>
      </c>
      <c r="F27" s="3" t="s">
        <v>71</v>
      </c>
      <c r="G27" s="3" t="s">
        <v>79</v>
      </c>
      <c r="H27" s="3" t="s">
        <v>88</v>
      </c>
      <c r="I27" s="3" t="s">
        <v>100</v>
      </c>
      <c r="J27" s="3" t="s">
        <v>128</v>
      </c>
      <c r="K27" s="3"/>
      <c r="L27" s="3"/>
    </row>
    <row r="28" spans="1:12" x14ac:dyDescent="0.25">
      <c r="A28" s="6" t="s">
        <v>111</v>
      </c>
      <c r="B28" s="6" t="s">
        <v>111</v>
      </c>
      <c r="C28" s="3"/>
      <c r="D28" s="3"/>
      <c r="E28" s="5" t="s">
        <v>139</v>
      </c>
      <c r="F28" s="5" t="s">
        <v>112</v>
      </c>
      <c r="G28" s="5" t="s">
        <v>112</v>
      </c>
      <c r="H28" s="3"/>
      <c r="I28" s="3"/>
      <c r="J28" s="6" t="s">
        <v>111</v>
      </c>
      <c r="K28" s="3"/>
      <c r="L28" s="3"/>
    </row>
    <row r="29" spans="1:12" x14ac:dyDescent="0.25">
      <c r="A29" s="5" t="s">
        <v>115</v>
      </c>
      <c r="B29" s="5" t="s">
        <v>123</v>
      </c>
      <c r="C29" s="3"/>
      <c r="D29" s="3"/>
      <c r="E29" s="5" t="s">
        <v>115</v>
      </c>
      <c r="F29" s="3" t="s">
        <v>111</v>
      </c>
      <c r="G29" s="5" t="s">
        <v>131</v>
      </c>
      <c r="H29" s="3"/>
      <c r="I29" s="3"/>
      <c r="J29" s="5" t="s">
        <v>123</v>
      </c>
      <c r="K29" s="3"/>
      <c r="L29" s="3"/>
    </row>
    <row r="30" spans="1:12" x14ac:dyDescent="0.25">
      <c r="A30" s="5" t="s">
        <v>116</v>
      </c>
      <c r="B30" s="5" t="s">
        <v>115</v>
      </c>
      <c r="C30" s="3"/>
      <c r="D30" s="3"/>
      <c r="E30" s="5" t="s">
        <v>116</v>
      </c>
      <c r="F30" s="5" t="s">
        <v>115</v>
      </c>
      <c r="G30" s="5" t="s">
        <v>113</v>
      </c>
      <c r="H30" s="3"/>
      <c r="I30" s="3"/>
      <c r="J30" s="5" t="s">
        <v>112</v>
      </c>
      <c r="K30" s="3"/>
      <c r="L30" s="3"/>
    </row>
    <row r="31" spans="1:12" x14ac:dyDescent="0.25">
      <c r="A31" s="5" t="s">
        <v>194</v>
      </c>
      <c r="B31" s="5" t="s">
        <v>119</v>
      </c>
      <c r="C31" s="3"/>
      <c r="D31" s="3"/>
      <c r="E31" s="5" t="s">
        <v>112</v>
      </c>
      <c r="F31" s="5" t="s">
        <v>116</v>
      </c>
      <c r="G31" s="5" t="s">
        <v>115</v>
      </c>
      <c r="H31" s="3"/>
      <c r="I31" s="3"/>
      <c r="J31" s="5" t="s">
        <v>129</v>
      </c>
      <c r="K31" s="3"/>
      <c r="L31" s="3"/>
    </row>
    <row r="32" spans="1:12" x14ac:dyDescent="0.25">
      <c r="A32" s="5" t="s">
        <v>195</v>
      </c>
      <c r="B32" s="5" t="s">
        <v>116</v>
      </c>
      <c r="C32" s="3"/>
      <c r="D32" s="3"/>
      <c r="E32" s="6" t="s">
        <v>111</v>
      </c>
      <c r="F32" s="5" t="s">
        <v>113</v>
      </c>
      <c r="G32" s="5" t="s">
        <v>132</v>
      </c>
      <c r="H32" s="3"/>
      <c r="I32" s="3"/>
      <c r="J32" s="5" t="s">
        <v>130</v>
      </c>
      <c r="K32" s="3"/>
      <c r="L32" s="3"/>
    </row>
    <row r="33" spans="1:12" x14ac:dyDescent="0.25">
      <c r="A33" s="5" t="s">
        <v>196</v>
      </c>
      <c r="B33" s="5" t="s">
        <v>124</v>
      </c>
      <c r="C33" s="3"/>
      <c r="D33" s="3"/>
      <c r="E33" s="5" t="s">
        <v>140</v>
      </c>
      <c r="F33" s="3"/>
      <c r="G33" s="5" t="s">
        <v>114</v>
      </c>
      <c r="H33" s="3"/>
      <c r="I33" s="3"/>
      <c r="J33" s="5" t="s">
        <v>116</v>
      </c>
      <c r="K33" s="3"/>
      <c r="L33" s="3"/>
    </row>
    <row r="34" spans="1:12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 x14ac:dyDescent="0.25">
      <c r="A35" s="3" t="s">
        <v>15</v>
      </c>
      <c r="B35" s="3" t="s">
        <v>28</v>
      </c>
      <c r="C35" s="3" t="s">
        <v>39</v>
      </c>
      <c r="D35" s="3" t="s">
        <v>50</v>
      </c>
      <c r="E35" s="3" t="s">
        <v>63</v>
      </c>
      <c r="F35" s="3" t="s">
        <v>72</v>
      </c>
      <c r="G35" s="3" t="s">
        <v>80</v>
      </c>
      <c r="H35" s="3" t="s">
        <v>89</v>
      </c>
      <c r="I35" s="3" t="s">
        <v>101</v>
      </c>
      <c r="J35" s="3" t="s">
        <v>106</v>
      </c>
      <c r="K35" s="3"/>
      <c r="L35" s="3"/>
    </row>
    <row r="36" spans="1:12" x14ac:dyDescent="0.25">
      <c r="A36" s="6" t="s">
        <v>111</v>
      </c>
      <c r="B36" s="6" t="s">
        <v>111</v>
      </c>
      <c r="C36" s="5"/>
      <c r="D36" s="5" t="s">
        <v>112</v>
      </c>
      <c r="E36" s="5" t="s">
        <v>205</v>
      </c>
      <c r="F36" s="5" t="s">
        <v>115</v>
      </c>
      <c r="G36" s="6" t="s">
        <v>111</v>
      </c>
      <c r="H36" s="3"/>
      <c r="I36" s="6" t="s">
        <v>111</v>
      </c>
      <c r="J36" s="5" t="s">
        <v>208</v>
      </c>
      <c r="K36" s="3"/>
      <c r="L36" s="3"/>
    </row>
    <row r="37" spans="1:12" x14ac:dyDescent="0.25">
      <c r="A37" s="5" t="s">
        <v>115</v>
      </c>
      <c r="B37" s="5" t="s">
        <v>124</v>
      </c>
      <c r="C37" s="3"/>
      <c r="D37" s="5" t="s">
        <v>156</v>
      </c>
      <c r="E37" s="5" t="s">
        <v>112</v>
      </c>
      <c r="F37" s="5" t="s">
        <v>215</v>
      </c>
      <c r="G37" s="5" t="s">
        <v>112</v>
      </c>
      <c r="H37" s="3"/>
      <c r="I37" s="5" t="s">
        <v>115</v>
      </c>
      <c r="J37" s="5" t="s">
        <v>209</v>
      </c>
      <c r="K37" s="3"/>
      <c r="L37" s="3"/>
    </row>
    <row r="38" spans="1:12" x14ac:dyDescent="0.25">
      <c r="A38" s="5" t="s">
        <v>113</v>
      </c>
      <c r="B38" s="5" t="s">
        <v>119</v>
      </c>
      <c r="C38" s="3"/>
      <c r="D38" s="6" t="s">
        <v>111</v>
      </c>
      <c r="E38" s="3" t="s">
        <v>111</v>
      </c>
      <c r="F38" s="5" t="s">
        <v>216</v>
      </c>
      <c r="G38" s="5" t="s">
        <v>131</v>
      </c>
      <c r="H38" s="3"/>
      <c r="I38" s="5" t="s">
        <v>113</v>
      </c>
      <c r="J38" s="5" t="s">
        <v>132</v>
      </c>
      <c r="K38" s="3"/>
      <c r="L38" s="3"/>
    </row>
    <row r="39" spans="1:12" x14ac:dyDescent="0.25">
      <c r="A39" s="5" t="s">
        <v>132</v>
      </c>
      <c r="B39" s="5" t="s">
        <v>134</v>
      </c>
      <c r="C39" s="3"/>
      <c r="D39" s="5" t="s">
        <v>113</v>
      </c>
      <c r="E39" s="5" t="s">
        <v>113</v>
      </c>
      <c r="F39" s="5" t="s">
        <v>217</v>
      </c>
      <c r="G39" s="5" t="s">
        <v>115</v>
      </c>
      <c r="H39" s="3"/>
      <c r="I39" s="5" t="s">
        <v>132</v>
      </c>
      <c r="J39" s="3" t="s">
        <v>111</v>
      </c>
      <c r="K39" s="3"/>
      <c r="L39" s="3"/>
    </row>
    <row r="40" spans="1:12" x14ac:dyDescent="0.25">
      <c r="A40" s="5" t="s">
        <v>114</v>
      </c>
      <c r="B40" s="5" t="s">
        <v>115</v>
      </c>
      <c r="C40" s="3"/>
      <c r="D40" s="5" t="s">
        <v>115</v>
      </c>
      <c r="E40" s="5" t="s">
        <v>139</v>
      </c>
      <c r="F40" s="3" t="s">
        <v>111</v>
      </c>
      <c r="G40" s="5" t="s">
        <v>116</v>
      </c>
      <c r="H40" s="3"/>
      <c r="I40" s="5" t="s">
        <v>134</v>
      </c>
      <c r="J40" s="5" t="s">
        <v>113</v>
      </c>
      <c r="K40" s="3"/>
      <c r="L40" s="3"/>
    </row>
    <row r="41" spans="1:12" x14ac:dyDescent="0.25">
      <c r="A41" s="5" t="s">
        <v>123</v>
      </c>
      <c r="B41" s="5" t="s">
        <v>123</v>
      </c>
      <c r="C41" s="3"/>
      <c r="D41" s="5" t="s">
        <v>134</v>
      </c>
      <c r="E41" s="5" t="s">
        <v>206</v>
      </c>
      <c r="F41" s="3"/>
      <c r="G41" s="5" t="s">
        <v>114</v>
      </c>
      <c r="H41" s="3"/>
      <c r="I41" s="3"/>
      <c r="J41" s="5" t="s">
        <v>112</v>
      </c>
      <c r="K41" s="3"/>
      <c r="L41" s="3"/>
    </row>
    <row r="42" spans="1:12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x14ac:dyDescent="0.25">
      <c r="A43" s="3" t="s">
        <v>16</v>
      </c>
      <c r="B43" s="3" t="s">
        <v>118</v>
      </c>
      <c r="C43" s="3" t="s">
        <v>40</v>
      </c>
      <c r="D43" s="3" t="s">
        <v>51</v>
      </c>
      <c r="E43" s="3" t="s">
        <v>64</v>
      </c>
      <c r="F43" s="3" t="s">
        <v>73</v>
      </c>
      <c r="G43" s="3" t="s">
        <v>117</v>
      </c>
      <c r="H43" s="3" t="s">
        <v>90</v>
      </c>
      <c r="I43" s="3" t="s">
        <v>102</v>
      </c>
      <c r="J43" s="3" t="s">
        <v>107</v>
      </c>
      <c r="K43" s="3"/>
      <c r="L43" s="3"/>
    </row>
    <row r="44" spans="1:12" x14ac:dyDescent="0.25">
      <c r="A44" s="6" t="s">
        <v>111</v>
      </c>
      <c r="B44" s="6" t="s">
        <v>111</v>
      </c>
      <c r="C44" s="5"/>
      <c r="D44" s="5" t="s">
        <v>182</v>
      </c>
      <c r="E44" s="6" t="s">
        <v>111</v>
      </c>
      <c r="F44" s="5" t="s">
        <v>131</v>
      </c>
      <c r="G44" s="6" t="s">
        <v>111</v>
      </c>
      <c r="H44" s="6" t="s">
        <v>155</v>
      </c>
      <c r="I44" s="5" t="s">
        <v>126</v>
      </c>
      <c r="J44" s="5" t="s">
        <v>213</v>
      </c>
      <c r="K44" s="3"/>
      <c r="L44" s="3"/>
    </row>
    <row r="45" spans="1:12" x14ac:dyDescent="0.25">
      <c r="A45" s="5" t="s">
        <v>113</v>
      </c>
      <c r="B45" s="5" t="s">
        <v>119</v>
      </c>
      <c r="C45" s="3"/>
      <c r="D45" s="5" t="s">
        <v>112</v>
      </c>
      <c r="E45" s="5" t="s">
        <v>113</v>
      </c>
      <c r="F45" s="5" t="s">
        <v>115</v>
      </c>
      <c r="G45" s="5" t="s">
        <v>112</v>
      </c>
      <c r="H45" s="5" t="s">
        <v>113</v>
      </c>
      <c r="I45" s="5" t="s">
        <v>115</v>
      </c>
      <c r="J45" s="3" t="s">
        <v>111</v>
      </c>
      <c r="K45" s="3"/>
      <c r="L45" s="3"/>
    </row>
    <row r="46" spans="1:12" x14ac:dyDescent="0.25">
      <c r="A46" s="5" t="s">
        <v>114</v>
      </c>
      <c r="B46" s="5" t="s">
        <v>116</v>
      </c>
      <c r="C46" s="3"/>
      <c r="D46" s="5" t="s">
        <v>113</v>
      </c>
      <c r="E46" s="5" t="s">
        <v>115</v>
      </c>
      <c r="F46" s="3"/>
      <c r="G46" s="5" t="s">
        <v>113</v>
      </c>
      <c r="H46" s="5" t="s">
        <v>112</v>
      </c>
      <c r="I46" s="5" t="s">
        <v>113</v>
      </c>
      <c r="J46" s="5" t="s">
        <v>130</v>
      </c>
      <c r="K46" s="3"/>
      <c r="L46" s="3"/>
    </row>
    <row r="47" spans="1:12" x14ac:dyDescent="0.25">
      <c r="A47" s="5" t="s">
        <v>115</v>
      </c>
      <c r="B47" s="5" t="s">
        <v>120</v>
      </c>
      <c r="C47" s="3"/>
      <c r="D47" s="6" t="s">
        <v>111</v>
      </c>
      <c r="E47" s="3" t="s">
        <v>165</v>
      </c>
      <c r="F47" s="5" t="s">
        <v>116</v>
      </c>
      <c r="G47" s="5" t="s">
        <v>114</v>
      </c>
      <c r="H47" s="5" t="s">
        <v>123</v>
      </c>
      <c r="I47" s="5" t="s">
        <v>132</v>
      </c>
      <c r="J47" s="5" t="s">
        <v>214</v>
      </c>
      <c r="K47" s="3"/>
      <c r="L47" s="3"/>
    </row>
    <row r="48" spans="1:12" x14ac:dyDescent="0.25">
      <c r="A48" s="5" t="s">
        <v>123</v>
      </c>
      <c r="B48" s="5" t="s">
        <v>114</v>
      </c>
      <c r="C48" s="3"/>
      <c r="D48" s="5" t="s">
        <v>115</v>
      </c>
      <c r="E48" s="5" t="s">
        <v>140</v>
      </c>
      <c r="F48" s="5" t="s">
        <v>114</v>
      </c>
      <c r="G48" s="5" t="s">
        <v>115</v>
      </c>
      <c r="H48" s="5" t="s">
        <v>115</v>
      </c>
      <c r="I48" s="5" t="s">
        <v>131</v>
      </c>
      <c r="J48" s="5" t="s">
        <v>116</v>
      </c>
      <c r="K48" s="3"/>
      <c r="L48" s="3"/>
    </row>
    <row r="49" spans="1:12" x14ac:dyDescent="0.25">
      <c r="A49" s="5" t="s">
        <v>204</v>
      </c>
      <c r="B49" s="5" t="s">
        <v>121</v>
      </c>
      <c r="C49" s="3"/>
      <c r="D49" s="5" t="s">
        <v>132</v>
      </c>
      <c r="E49" s="5" t="s">
        <v>166</v>
      </c>
      <c r="F49" s="5" t="s">
        <v>113</v>
      </c>
      <c r="G49" s="5" t="s">
        <v>116</v>
      </c>
      <c r="H49" s="3"/>
      <c r="I49" s="5" t="s">
        <v>116</v>
      </c>
      <c r="J49" s="5" t="s">
        <v>113</v>
      </c>
      <c r="K49" s="3"/>
      <c r="L49" s="3"/>
    </row>
    <row r="50" spans="1:12" x14ac:dyDescent="0.25">
      <c r="A50" s="3"/>
      <c r="B50" s="3"/>
      <c r="C50" s="3"/>
      <c r="D50" s="3"/>
      <c r="E50" s="3"/>
      <c r="F50" s="3"/>
      <c r="G50" s="5"/>
      <c r="H50" s="3"/>
      <c r="I50" s="3"/>
      <c r="J50" s="3" t="s">
        <v>169</v>
      </c>
      <c r="K50" s="3"/>
      <c r="L50" s="3"/>
    </row>
    <row r="51" spans="1:12" x14ac:dyDescent="0.25">
      <c r="A51" s="3" t="s">
        <v>17</v>
      </c>
      <c r="B51" s="3" t="s">
        <v>29</v>
      </c>
      <c r="C51" s="3" t="s">
        <v>41</v>
      </c>
      <c r="D51" s="3" t="s">
        <v>52</v>
      </c>
      <c r="E51" s="3"/>
      <c r="F51" s="3" t="s">
        <v>143</v>
      </c>
      <c r="G51" s="3" t="s">
        <v>81</v>
      </c>
      <c r="H51" s="3" t="s">
        <v>91</v>
      </c>
      <c r="I51" s="3" t="s">
        <v>47</v>
      </c>
      <c r="J51" s="3" t="s">
        <v>108</v>
      </c>
      <c r="K51" s="3"/>
      <c r="L51" s="3"/>
    </row>
    <row r="52" spans="1:12" x14ac:dyDescent="0.25">
      <c r="A52" s="3"/>
      <c r="B52" s="6" t="s">
        <v>111</v>
      </c>
      <c r="C52" s="3" t="s">
        <v>111</v>
      </c>
      <c r="D52" s="3"/>
      <c r="E52" s="3"/>
      <c r="F52" s="6" t="s">
        <v>111</v>
      </c>
      <c r="G52" s="5" t="s">
        <v>133</v>
      </c>
      <c r="H52" s="6" t="s">
        <v>155</v>
      </c>
      <c r="I52" s="3"/>
      <c r="J52" s="5" t="s">
        <v>112</v>
      </c>
      <c r="K52" s="3"/>
      <c r="L52" s="3"/>
    </row>
    <row r="53" spans="1:12" x14ac:dyDescent="0.25">
      <c r="A53" s="3"/>
      <c r="B53" s="5" t="s">
        <v>124</v>
      </c>
      <c r="C53" s="5" t="s">
        <v>113</v>
      </c>
      <c r="D53" s="3"/>
      <c r="E53" s="3"/>
      <c r="F53" s="5" t="s">
        <v>113</v>
      </c>
      <c r="G53" s="6" t="s">
        <v>111</v>
      </c>
      <c r="H53" s="5" t="s">
        <v>123</v>
      </c>
      <c r="I53" s="3"/>
      <c r="J53" s="5" t="s">
        <v>130</v>
      </c>
      <c r="K53" s="3"/>
      <c r="L53" s="3"/>
    </row>
    <row r="54" spans="1:12" x14ac:dyDescent="0.25">
      <c r="A54" s="3"/>
      <c r="B54" s="5" t="s">
        <v>115</v>
      </c>
      <c r="C54" s="5" t="s">
        <v>218</v>
      </c>
      <c r="D54" s="3"/>
      <c r="E54" s="3"/>
      <c r="F54" s="5" t="s">
        <v>134</v>
      </c>
      <c r="G54" s="5" t="s">
        <v>112</v>
      </c>
      <c r="H54" s="5" t="s">
        <v>115</v>
      </c>
      <c r="I54" s="3"/>
      <c r="J54" s="5" t="s">
        <v>113</v>
      </c>
      <c r="K54" s="3"/>
      <c r="L54" s="3"/>
    </row>
    <row r="55" spans="1:12" x14ac:dyDescent="0.25">
      <c r="A55" s="3"/>
      <c r="B55" s="5" t="s">
        <v>119</v>
      </c>
      <c r="C55" s="5" t="s">
        <v>115</v>
      </c>
      <c r="D55" s="3"/>
      <c r="E55" s="3"/>
      <c r="F55" s="5" t="s">
        <v>114</v>
      </c>
      <c r="G55" s="5" t="s">
        <v>113</v>
      </c>
      <c r="H55" s="5" t="s">
        <v>112</v>
      </c>
      <c r="I55" s="3"/>
      <c r="J55" s="3" t="s">
        <v>111</v>
      </c>
      <c r="K55" s="3"/>
      <c r="L55" s="3"/>
    </row>
    <row r="56" spans="1:12" x14ac:dyDescent="0.25">
      <c r="A56" s="3"/>
      <c r="B56" s="5" t="s">
        <v>192</v>
      </c>
      <c r="C56" s="5" t="s">
        <v>219</v>
      </c>
      <c r="D56" s="3"/>
      <c r="E56" s="3"/>
      <c r="F56" s="5" t="s">
        <v>116</v>
      </c>
      <c r="G56" s="5" t="s">
        <v>114</v>
      </c>
      <c r="H56" s="5" t="s">
        <v>138</v>
      </c>
      <c r="I56" s="3"/>
      <c r="J56" s="5" t="s">
        <v>132</v>
      </c>
      <c r="K56" s="3"/>
      <c r="L56" s="3"/>
    </row>
    <row r="57" spans="1:12" x14ac:dyDescent="0.25">
      <c r="A57" s="3"/>
      <c r="B57" s="5" t="s">
        <v>134</v>
      </c>
      <c r="C57" s="5" t="s">
        <v>116</v>
      </c>
      <c r="D57" s="3"/>
      <c r="E57" s="3"/>
      <c r="F57" s="5" t="s">
        <v>112</v>
      </c>
      <c r="G57" s="5" t="s">
        <v>115</v>
      </c>
      <c r="H57" s="5" t="s">
        <v>134</v>
      </c>
      <c r="I57" s="3"/>
      <c r="J57" s="3"/>
      <c r="K57" s="3"/>
      <c r="L57" s="3"/>
    </row>
    <row r="58" spans="1:12" x14ac:dyDescent="0.25">
      <c r="A58" s="3"/>
      <c r="B58" s="3"/>
      <c r="C58" s="3"/>
      <c r="D58" s="3"/>
      <c r="E58" s="3"/>
      <c r="F58" s="3"/>
      <c r="G58" s="5"/>
      <c r="H58" s="3"/>
      <c r="I58" s="3"/>
      <c r="J58" s="3"/>
      <c r="K58" s="3"/>
      <c r="L58" s="3"/>
    </row>
    <row r="59" spans="1:12" x14ac:dyDescent="0.25">
      <c r="A59" s="3" t="s">
        <v>141</v>
      </c>
      <c r="B59" s="3" t="s">
        <v>30</v>
      </c>
      <c r="C59" s="3" t="s">
        <v>42</v>
      </c>
      <c r="D59" s="3" t="s">
        <v>53</v>
      </c>
      <c r="E59" s="3" t="s">
        <v>66</v>
      </c>
      <c r="F59" s="3" t="s">
        <v>144</v>
      </c>
      <c r="G59" s="3" t="s">
        <v>82</v>
      </c>
      <c r="H59" s="3" t="s">
        <v>92</v>
      </c>
      <c r="I59" s="3" t="s">
        <v>103</v>
      </c>
      <c r="J59" s="3" t="s">
        <v>109</v>
      </c>
      <c r="K59" s="3"/>
      <c r="L59" s="3"/>
    </row>
    <row r="60" spans="1:12" x14ac:dyDescent="0.25">
      <c r="A60" s="6" t="s">
        <v>111</v>
      </c>
      <c r="B60" s="6" t="s">
        <v>111</v>
      </c>
      <c r="C60" s="3"/>
      <c r="D60" s="3"/>
      <c r="E60" s="5" t="s">
        <v>113</v>
      </c>
      <c r="F60" s="5" t="s">
        <v>115</v>
      </c>
      <c r="G60" s="6" t="s">
        <v>111</v>
      </c>
      <c r="H60" s="3"/>
      <c r="I60" s="6" t="s">
        <v>111</v>
      </c>
      <c r="J60" s="3"/>
      <c r="K60" s="3"/>
      <c r="L60" s="3"/>
    </row>
    <row r="61" spans="1:12" x14ac:dyDescent="0.25">
      <c r="A61" s="5" t="s">
        <v>114</v>
      </c>
      <c r="B61" s="5" t="s">
        <v>115</v>
      </c>
      <c r="C61" s="3"/>
      <c r="D61" s="3"/>
      <c r="E61" s="5" t="s">
        <v>115</v>
      </c>
      <c r="F61" s="5" t="s">
        <v>112</v>
      </c>
      <c r="G61" s="5" t="s">
        <v>113</v>
      </c>
      <c r="H61" s="3"/>
      <c r="I61" s="5" t="s">
        <v>126</v>
      </c>
      <c r="J61" s="3"/>
      <c r="K61" s="3"/>
      <c r="L61" s="3"/>
    </row>
    <row r="62" spans="1:12" x14ac:dyDescent="0.25">
      <c r="A62" s="5" t="s">
        <v>136</v>
      </c>
      <c r="B62" s="5" t="s">
        <v>116</v>
      </c>
      <c r="C62" s="3"/>
      <c r="D62" s="3"/>
      <c r="E62" s="5" t="s">
        <v>114</v>
      </c>
      <c r="F62" s="5" t="s">
        <v>116</v>
      </c>
      <c r="G62" s="5" t="s">
        <v>184</v>
      </c>
      <c r="H62" s="3"/>
      <c r="I62" s="5" t="s">
        <v>131</v>
      </c>
      <c r="J62" s="3"/>
      <c r="K62" s="3"/>
      <c r="L62" s="3"/>
    </row>
    <row r="63" spans="1:12" x14ac:dyDescent="0.25">
      <c r="A63" s="5" t="s">
        <v>137</v>
      </c>
      <c r="B63" s="5" t="s">
        <v>124</v>
      </c>
      <c r="C63" s="3"/>
      <c r="D63" s="3"/>
      <c r="E63" s="5" t="s">
        <v>116</v>
      </c>
      <c r="F63" s="6" t="s">
        <v>111</v>
      </c>
      <c r="G63" s="5" t="s">
        <v>112</v>
      </c>
      <c r="H63" s="3"/>
      <c r="I63" s="5" t="s">
        <v>115</v>
      </c>
      <c r="J63" s="3"/>
      <c r="K63" s="3"/>
      <c r="L63" s="3"/>
    </row>
    <row r="64" spans="1:12" x14ac:dyDescent="0.25">
      <c r="A64" s="5" t="s">
        <v>115</v>
      </c>
      <c r="B64" s="5" t="s">
        <v>199</v>
      </c>
      <c r="C64" s="3"/>
      <c r="D64" s="3"/>
      <c r="E64" s="6" t="s">
        <v>111</v>
      </c>
      <c r="F64" s="5" t="s">
        <v>135</v>
      </c>
      <c r="G64" s="5" t="s">
        <v>114</v>
      </c>
      <c r="H64" s="3"/>
      <c r="I64" s="5" t="s">
        <v>132</v>
      </c>
      <c r="J64" s="3"/>
      <c r="K64" s="3"/>
      <c r="L64" s="3"/>
    </row>
    <row r="65" spans="1:12" x14ac:dyDescent="0.25">
      <c r="A65" s="5" t="s">
        <v>113</v>
      </c>
      <c r="B65" s="5" t="s">
        <v>114</v>
      </c>
      <c r="C65" s="3"/>
      <c r="D65" s="3"/>
      <c r="E65" s="5" t="s">
        <v>140</v>
      </c>
      <c r="F65" s="5" t="s">
        <v>132</v>
      </c>
      <c r="G65" s="5" t="s">
        <v>116</v>
      </c>
      <c r="H65" s="3"/>
      <c r="I65" s="5" t="s">
        <v>116</v>
      </c>
      <c r="J65" s="3"/>
      <c r="K65" s="3"/>
      <c r="L65" s="3"/>
    </row>
    <row r="66" spans="1:12" x14ac:dyDescent="0.25">
      <c r="A66" s="3"/>
      <c r="B66" s="3"/>
      <c r="C66" s="3"/>
      <c r="D66" s="3"/>
      <c r="E66" s="3"/>
      <c r="F66" s="3"/>
      <c r="G66" s="3"/>
      <c r="H66" s="3"/>
      <c r="I66" s="5"/>
      <c r="J66" s="3"/>
      <c r="K66" s="3"/>
      <c r="L66" s="3"/>
    </row>
    <row r="67" spans="1:12" x14ac:dyDescent="0.25">
      <c r="A67" s="3" t="s">
        <v>18</v>
      </c>
      <c r="B67" s="3" t="s">
        <v>31</v>
      </c>
      <c r="C67" s="3" t="s">
        <v>43</v>
      </c>
      <c r="D67" s="3" t="s">
        <v>54</v>
      </c>
      <c r="E67" s="3" t="s">
        <v>67</v>
      </c>
      <c r="F67" s="3" t="s">
        <v>74</v>
      </c>
      <c r="G67" s="3" t="s">
        <v>83</v>
      </c>
      <c r="H67" s="3" t="s">
        <v>93</v>
      </c>
      <c r="I67" s="3" t="s">
        <v>104</v>
      </c>
      <c r="J67" s="3" t="s">
        <v>110</v>
      </c>
      <c r="K67" s="3"/>
      <c r="L67" s="3"/>
    </row>
    <row r="68" spans="1:12" x14ac:dyDescent="0.25">
      <c r="A68" s="3"/>
      <c r="B68" s="5" t="s">
        <v>120</v>
      </c>
      <c r="C68" s="3" t="s">
        <v>111</v>
      </c>
      <c r="D68" s="3"/>
      <c r="E68" s="5" t="s">
        <v>115</v>
      </c>
      <c r="F68" s="5" t="s">
        <v>131</v>
      </c>
      <c r="G68" s="5" t="s">
        <v>112</v>
      </c>
      <c r="H68" s="3" t="s">
        <v>155</v>
      </c>
      <c r="I68" s="6" t="s">
        <v>111</v>
      </c>
      <c r="J68" s="5" t="s">
        <v>112</v>
      </c>
      <c r="K68" s="3"/>
      <c r="L68" s="3"/>
    </row>
    <row r="69" spans="1:12" x14ac:dyDescent="0.25">
      <c r="A69" s="3"/>
      <c r="B69" s="5" t="s">
        <v>180</v>
      </c>
      <c r="C69" s="5" t="s">
        <v>113</v>
      </c>
      <c r="D69" s="3"/>
      <c r="E69" s="5" t="s">
        <v>112</v>
      </c>
      <c r="F69" s="5" t="s">
        <v>115</v>
      </c>
      <c r="G69" s="3" t="s">
        <v>111</v>
      </c>
      <c r="H69" s="5" t="s">
        <v>113</v>
      </c>
      <c r="I69" s="5" t="s">
        <v>113</v>
      </c>
      <c r="J69" s="5" t="s">
        <v>130</v>
      </c>
      <c r="K69" s="3"/>
      <c r="L69" s="3"/>
    </row>
    <row r="70" spans="1:12" x14ac:dyDescent="0.25">
      <c r="A70" s="3"/>
      <c r="B70" s="6" t="s">
        <v>111</v>
      </c>
      <c r="C70" s="5" t="s">
        <v>126</v>
      </c>
      <c r="D70" s="3"/>
      <c r="E70" s="5" t="s">
        <v>113</v>
      </c>
      <c r="F70" s="5" t="s">
        <v>116</v>
      </c>
      <c r="G70" s="5" t="s">
        <v>115</v>
      </c>
      <c r="H70" s="5" t="s">
        <v>112</v>
      </c>
      <c r="I70" s="5" t="s">
        <v>163</v>
      </c>
      <c r="J70" s="5" t="s">
        <v>116</v>
      </c>
      <c r="K70" s="3"/>
      <c r="L70" s="3"/>
    </row>
    <row r="71" spans="1:12" x14ac:dyDescent="0.25">
      <c r="A71" s="3"/>
      <c r="B71" s="5" t="s">
        <v>119</v>
      </c>
      <c r="C71" s="5" t="s">
        <v>116</v>
      </c>
      <c r="D71" s="3"/>
      <c r="E71" s="5" t="s">
        <v>114</v>
      </c>
      <c r="F71" s="5" t="s">
        <v>112</v>
      </c>
      <c r="G71" s="5" t="s">
        <v>212</v>
      </c>
      <c r="H71" s="5" t="s">
        <v>123</v>
      </c>
      <c r="I71" s="5" t="s">
        <v>116</v>
      </c>
      <c r="J71" s="6" t="s">
        <v>111</v>
      </c>
      <c r="K71" s="3"/>
      <c r="L71" s="3"/>
    </row>
    <row r="72" spans="1:12" x14ac:dyDescent="0.25">
      <c r="A72" s="3"/>
      <c r="B72" s="5" t="s">
        <v>115</v>
      </c>
      <c r="C72" s="5" t="s">
        <v>114</v>
      </c>
      <c r="D72" s="3"/>
      <c r="E72" s="5" t="s">
        <v>138</v>
      </c>
      <c r="F72" s="5" t="s">
        <v>113</v>
      </c>
      <c r="G72" s="5" t="s">
        <v>162</v>
      </c>
      <c r="H72" s="5" t="s">
        <v>114</v>
      </c>
      <c r="I72" s="5" t="s">
        <v>115</v>
      </c>
      <c r="J72" s="5" t="s">
        <v>132</v>
      </c>
      <c r="K72" s="3"/>
      <c r="L72" s="3"/>
    </row>
    <row r="73" spans="1:12" x14ac:dyDescent="0.25">
      <c r="A73" s="3"/>
      <c r="B73" s="5" t="s">
        <v>123</v>
      </c>
      <c r="C73" s="5" t="s">
        <v>220</v>
      </c>
      <c r="D73" s="3"/>
      <c r="E73" s="5" t="s">
        <v>116</v>
      </c>
      <c r="F73" s="3"/>
      <c r="G73" s="5" t="s">
        <v>116</v>
      </c>
      <c r="H73" s="5" t="s">
        <v>115</v>
      </c>
      <c r="I73" s="5" t="s">
        <v>176</v>
      </c>
      <c r="J73" s="5" t="s">
        <v>113</v>
      </c>
      <c r="K73" s="3"/>
      <c r="L73" s="3"/>
    </row>
    <row r="74" spans="1:12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x14ac:dyDescent="0.25">
      <c r="A75" s="3" t="s">
        <v>19</v>
      </c>
      <c r="B75" s="3" t="s">
        <v>32</v>
      </c>
      <c r="C75" s="3" t="s">
        <v>44</v>
      </c>
      <c r="D75" s="3" t="s">
        <v>55</v>
      </c>
      <c r="E75" s="3" t="s">
        <v>68</v>
      </c>
      <c r="F75" s="3"/>
      <c r="G75" s="3" t="s">
        <v>84</v>
      </c>
      <c r="H75" s="3" t="s">
        <v>94</v>
      </c>
      <c r="I75" s="3"/>
      <c r="J75" s="3"/>
      <c r="K75" s="3"/>
      <c r="L75" s="3"/>
    </row>
    <row r="76" spans="1:12" x14ac:dyDescent="0.25">
      <c r="A76" s="6" t="s">
        <v>111</v>
      </c>
      <c r="B76" s="6" t="s">
        <v>111</v>
      </c>
      <c r="C76" s="5" t="s">
        <v>126</v>
      </c>
      <c r="D76" s="3"/>
      <c r="E76" s="5" t="s">
        <v>112</v>
      </c>
      <c r="F76" s="3"/>
      <c r="G76" s="3"/>
      <c r="H76" s="5" t="s">
        <v>112</v>
      </c>
      <c r="I76" s="3"/>
      <c r="J76" s="3"/>
      <c r="K76" s="3"/>
      <c r="L76" s="3"/>
    </row>
    <row r="77" spans="1:12" x14ac:dyDescent="0.25">
      <c r="A77" s="5" t="s">
        <v>113</v>
      </c>
      <c r="B77" s="5" t="s">
        <v>123</v>
      </c>
      <c r="C77" s="5" t="s">
        <v>218</v>
      </c>
      <c r="D77" s="3"/>
      <c r="E77" s="5" t="s">
        <v>165</v>
      </c>
      <c r="F77" s="3"/>
      <c r="G77" s="3"/>
      <c r="H77" s="6" t="s">
        <v>155</v>
      </c>
      <c r="I77" s="3"/>
      <c r="J77" s="3"/>
      <c r="K77" s="3"/>
      <c r="L77" s="3"/>
    </row>
    <row r="78" spans="1:12" x14ac:dyDescent="0.25">
      <c r="A78" s="5" t="s">
        <v>115</v>
      </c>
      <c r="B78" s="5" t="s">
        <v>134</v>
      </c>
      <c r="C78" s="3" t="s">
        <v>111</v>
      </c>
      <c r="D78" s="3"/>
      <c r="E78" s="5" t="s">
        <v>113</v>
      </c>
      <c r="F78" s="3"/>
      <c r="G78" s="3"/>
      <c r="H78" s="5" t="s">
        <v>138</v>
      </c>
      <c r="I78" s="3"/>
      <c r="J78" s="3"/>
      <c r="K78" s="3"/>
      <c r="L78" s="3"/>
    </row>
    <row r="79" spans="1:12" x14ac:dyDescent="0.25">
      <c r="A79" s="5" t="s">
        <v>112</v>
      </c>
      <c r="B79" s="5" t="s">
        <v>115</v>
      </c>
      <c r="C79" s="5" t="s">
        <v>219</v>
      </c>
      <c r="D79" s="3"/>
      <c r="E79" s="5" t="s">
        <v>114</v>
      </c>
      <c r="F79" s="3"/>
      <c r="G79" s="3"/>
      <c r="H79" s="5" t="s">
        <v>132</v>
      </c>
      <c r="I79" s="3"/>
      <c r="J79" s="3"/>
      <c r="K79" s="3"/>
      <c r="L79" s="3"/>
    </row>
    <row r="80" spans="1:12" x14ac:dyDescent="0.25">
      <c r="A80" s="5" t="s">
        <v>114</v>
      </c>
      <c r="B80" s="5" t="s">
        <v>124</v>
      </c>
      <c r="C80" s="5" t="s">
        <v>116</v>
      </c>
      <c r="D80" s="3"/>
      <c r="E80" s="5" t="s">
        <v>115</v>
      </c>
      <c r="F80" s="3"/>
      <c r="G80" s="3"/>
      <c r="H80" s="5" t="s">
        <v>123</v>
      </c>
      <c r="I80" s="3"/>
      <c r="J80" s="3"/>
      <c r="K80" s="3"/>
      <c r="L80" s="3"/>
    </row>
    <row r="81" spans="1:12" x14ac:dyDescent="0.25">
      <c r="A81" s="5" t="s">
        <v>162</v>
      </c>
      <c r="B81" s="3"/>
      <c r="C81" s="5" t="s">
        <v>115</v>
      </c>
      <c r="D81" s="3"/>
      <c r="E81" s="5" t="s">
        <v>181</v>
      </c>
      <c r="F81" s="3"/>
      <c r="G81" s="3"/>
      <c r="H81" s="5" t="s">
        <v>115</v>
      </c>
      <c r="I81" s="3"/>
      <c r="J81" s="3"/>
      <c r="K81" s="3"/>
      <c r="L81" s="3"/>
    </row>
    <row r="82" spans="1:12" x14ac:dyDescent="0.25">
      <c r="A82" s="3"/>
      <c r="B82" s="3"/>
      <c r="C82" s="3" t="s">
        <v>169</v>
      </c>
      <c r="D82" s="3"/>
      <c r="E82" s="3"/>
      <c r="F82" s="3"/>
      <c r="G82" s="3"/>
      <c r="H82" s="3"/>
      <c r="I82" s="3"/>
      <c r="J82" s="3"/>
      <c r="K82" s="3"/>
      <c r="L82" s="3"/>
    </row>
    <row r="83" spans="1:12" x14ac:dyDescent="0.25">
      <c r="A83" s="3" t="s">
        <v>20</v>
      </c>
      <c r="B83" s="3" t="s">
        <v>33</v>
      </c>
      <c r="C83" s="3" t="s">
        <v>45</v>
      </c>
      <c r="D83" s="3" t="s">
        <v>56</v>
      </c>
      <c r="E83" s="3"/>
      <c r="F83" s="3"/>
      <c r="G83" s="3"/>
      <c r="H83" s="3" t="s">
        <v>95</v>
      </c>
      <c r="I83" s="3"/>
      <c r="J83" s="3"/>
      <c r="K83" s="3"/>
      <c r="L83" s="3"/>
    </row>
    <row r="84" spans="1:12" x14ac:dyDescent="0.25">
      <c r="A84" s="3"/>
      <c r="B84" s="6" t="s">
        <v>111</v>
      </c>
      <c r="C84" s="6" t="s">
        <v>111</v>
      </c>
      <c r="D84" s="3"/>
      <c r="E84" s="3"/>
      <c r="F84" s="3"/>
      <c r="G84" s="3"/>
      <c r="H84" s="5" t="s">
        <v>114</v>
      </c>
      <c r="I84" s="3"/>
      <c r="J84" s="3"/>
      <c r="K84" s="3"/>
      <c r="L84" s="3"/>
    </row>
    <row r="85" spans="1:12" x14ac:dyDescent="0.25">
      <c r="A85" s="3"/>
      <c r="B85" s="5" t="s">
        <v>119</v>
      </c>
      <c r="C85" s="5" t="s">
        <v>113</v>
      </c>
      <c r="D85" s="3"/>
      <c r="E85" s="3"/>
      <c r="F85" s="3"/>
      <c r="G85" s="3"/>
      <c r="H85" s="5" t="s">
        <v>113</v>
      </c>
      <c r="I85" s="3"/>
      <c r="J85" s="3"/>
      <c r="K85" s="3"/>
      <c r="L85" s="3"/>
    </row>
    <row r="86" spans="1:12" x14ac:dyDescent="0.25">
      <c r="A86" s="3"/>
      <c r="B86" s="5" t="s">
        <v>123</v>
      </c>
      <c r="C86" s="5" t="s">
        <v>116</v>
      </c>
      <c r="D86" s="3"/>
      <c r="E86" s="3"/>
      <c r="F86" s="3"/>
      <c r="G86" s="3"/>
      <c r="H86" s="5" t="s">
        <v>159</v>
      </c>
      <c r="I86" s="3"/>
      <c r="J86" s="3"/>
      <c r="K86" s="3"/>
      <c r="L86" s="3"/>
    </row>
    <row r="87" spans="1:12" x14ac:dyDescent="0.25">
      <c r="A87" s="3"/>
      <c r="B87" s="5" t="s">
        <v>114</v>
      </c>
      <c r="C87" s="5" t="s">
        <v>114</v>
      </c>
      <c r="D87" s="3"/>
      <c r="E87" s="3"/>
      <c r="F87" s="3"/>
      <c r="G87" s="3"/>
      <c r="H87" s="5" t="s">
        <v>160</v>
      </c>
      <c r="I87" s="3"/>
      <c r="J87" s="3"/>
      <c r="K87" s="3"/>
      <c r="L87" s="3"/>
    </row>
    <row r="88" spans="1:12" x14ac:dyDescent="0.25">
      <c r="A88" s="3"/>
      <c r="B88" s="5" t="s">
        <v>115</v>
      </c>
      <c r="C88" s="5" t="s">
        <v>131</v>
      </c>
      <c r="D88" s="3"/>
      <c r="E88" s="3"/>
      <c r="F88" s="3"/>
      <c r="G88" s="3"/>
      <c r="H88" s="6" t="s">
        <v>155</v>
      </c>
      <c r="I88" s="3"/>
      <c r="J88" s="3"/>
      <c r="K88" s="3"/>
      <c r="L88" s="3"/>
    </row>
    <row r="89" spans="1:12" x14ac:dyDescent="0.25">
      <c r="A89" s="3"/>
      <c r="B89" s="5" t="s">
        <v>134</v>
      </c>
      <c r="C89" s="5" t="s">
        <v>126</v>
      </c>
      <c r="D89" s="3"/>
      <c r="E89" s="3"/>
      <c r="F89" s="3"/>
      <c r="G89" s="3"/>
      <c r="H89" s="5" t="s">
        <v>161</v>
      </c>
      <c r="I89" s="3"/>
      <c r="J89" s="3"/>
      <c r="K89" s="3"/>
      <c r="L89" s="3"/>
    </row>
    <row r="90" spans="1:12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x14ac:dyDescent="0.25">
      <c r="A91" s="3" t="s">
        <v>21</v>
      </c>
      <c r="B91" s="3" t="s">
        <v>34</v>
      </c>
      <c r="C91" s="3"/>
      <c r="D91" s="3" t="s">
        <v>57</v>
      </c>
      <c r="E91" s="3"/>
      <c r="F91" s="3"/>
      <c r="G91" s="3"/>
      <c r="H91" s="3" t="s">
        <v>96</v>
      </c>
      <c r="I91" s="3"/>
      <c r="J91" s="3"/>
      <c r="K91" s="3"/>
      <c r="L91" s="3"/>
    </row>
    <row r="92" spans="1:12" x14ac:dyDescent="0.25">
      <c r="A92" s="5" t="s">
        <v>115</v>
      </c>
      <c r="B92" s="6" t="s">
        <v>111</v>
      </c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x14ac:dyDescent="0.25">
      <c r="A93" s="6" t="s">
        <v>111</v>
      </c>
      <c r="B93" s="5" t="s">
        <v>124</v>
      </c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x14ac:dyDescent="0.25">
      <c r="A94" s="5" t="s">
        <v>113</v>
      </c>
      <c r="B94" s="5" t="s">
        <v>115</v>
      </c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x14ac:dyDescent="0.25">
      <c r="A95" s="5" t="s">
        <v>116</v>
      </c>
      <c r="B95" s="5" t="s">
        <v>114</v>
      </c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x14ac:dyDescent="0.25">
      <c r="A96" s="5" t="s">
        <v>132</v>
      </c>
      <c r="B96" s="5" t="s">
        <v>123</v>
      </c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x14ac:dyDescent="0.25">
      <c r="A97" s="5" t="s">
        <v>154</v>
      </c>
      <c r="B97" s="5" t="s">
        <v>200</v>
      </c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x14ac:dyDescent="0.25">
      <c r="A98" s="5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x14ac:dyDescent="0.25">
      <c r="A99" s="3" t="s">
        <v>24</v>
      </c>
      <c r="B99" s="3"/>
      <c r="C99" s="3"/>
      <c r="D99" s="3" t="s">
        <v>23</v>
      </c>
      <c r="E99" s="3"/>
      <c r="F99" s="3"/>
      <c r="G99" s="3"/>
      <c r="H99" s="3"/>
      <c r="I99" s="3"/>
      <c r="J99" s="3"/>
      <c r="K99" s="3"/>
      <c r="L99" s="3"/>
    </row>
    <row r="100" spans="1:12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1:12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1:12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1:12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1:12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1:12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1:12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spans="1:12" x14ac:dyDescent="0.25">
      <c r="A107" s="3" t="s">
        <v>22</v>
      </c>
      <c r="B107" s="3"/>
      <c r="C107" s="3"/>
      <c r="D107" s="3" t="s">
        <v>58</v>
      </c>
      <c r="E107" s="3"/>
      <c r="F107" s="3"/>
      <c r="G107" s="3"/>
      <c r="H107" s="3"/>
      <c r="I107" s="3"/>
      <c r="J107" s="3"/>
      <c r="K107" s="3"/>
      <c r="L107" s="3"/>
    </row>
    <row r="108" spans="1:12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spans="1:12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spans="1:12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 spans="1:12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spans="1:12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 spans="1:12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spans="1:12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spans="1:12" x14ac:dyDescent="0.25">
      <c r="A115" s="3" t="s">
        <v>25</v>
      </c>
      <c r="B115" s="3"/>
      <c r="C115" s="3"/>
      <c r="D115" s="3" t="s">
        <v>59</v>
      </c>
      <c r="E115" s="3"/>
      <c r="F115" s="3"/>
      <c r="G115" s="3"/>
      <c r="H115" s="3"/>
      <c r="I115" s="3"/>
      <c r="J115" s="3"/>
      <c r="K115" s="3"/>
      <c r="L115" s="3"/>
    </row>
    <row r="116" spans="1:12" x14ac:dyDescent="0.25">
      <c r="A116" s="6" t="s">
        <v>111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spans="1:12" x14ac:dyDescent="0.25">
      <c r="A117" s="5" t="s">
        <v>115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spans="1:12" x14ac:dyDescent="0.25">
      <c r="A118" s="5" t="s">
        <v>113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spans="1:12" x14ac:dyDescent="0.25">
      <c r="A119" s="5" t="s">
        <v>112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spans="1:12" x14ac:dyDescent="0.25">
      <c r="A120" s="5" t="s">
        <v>116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spans="1:12" x14ac:dyDescent="0.25">
      <c r="A121" s="5" t="s">
        <v>114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spans="1:12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spans="1:12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spans="1:12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30" spans="10:10" ht="24.75" customHeight="1" x14ac:dyDescent="0.25"/>
    <row r="131" spans="10:10" ht="30" customHeight="1" x14ac:dyDescent="0.25"/>
    <row r="132" spans="10:10" ht="27" customHeight="1" x14ac:dyDescent="0.25"/>
    <row r="133" spans="10:10" ht="24" customHeight="1" x14ac:dyDescent="0.25"/>
    <row r="134" spans="10:10" ht="26.25" customHeight="1" x14ac:dyDescent="0.25"/>
    <row r="135" spans="10:10" ht="27.75" customHeight="1" x14ac:dyDescent="0.25"/>
    <row r="136" spans="10:10" ht="26.25" customHeight="1" x14ac:dyDescent="0.25"/>
    <row r="137" spans="10:10" ht="28.5" customHeight="1" x14ac:dyDescent="0.25"/>
    <row r="138" spans="10:10" ht="31.5" customHeight="1" x14ac:dyDescent="0.25"/>
    <row r="139" spans="10:10" ht="31.5" customHeight="1" x14ac:dyDescent="0.25"/>
    <row r="140" spans="10:10" ht="27" customHeight="1" x14ac:dyDescent="0.25"/>
    <row r="141" spans="10:10" ht="26.25" customHeight="1" x14ac:dyDescent="0.25">
      <c r="J141">
        <v>4</v>
      </c>
    </row>
    <row r="142" spans="10:10" ht="32.25" customHeight="1" x14ac:dyDescent="0.25"/>
    <row r="143" spans="10:10" ht="15.75" customHeight="1" x14ac:dyDescent="0.25"/>
    <row r="144" spans="10:10" ht="15" customHeight="1" x14ac:dyDescent="0.25"/>
    <row r="145" ht="16.5" customHeight="1" x14ac:dyDescent="0.25"/>
    <row r="146" ht="12.75" customHeight="1" x14ac:dyDescent="0.25"/>
    <row r="150" s="7" customFormat="1" x14ac:dyDescent="0.25"/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6"/>
  <sheetViews>
    <sheetView tabSelected="1" zoomScale="70" zoomScaleNormal="70" workbookViewId="0">
      <pane xSplit="1" topLeftCell="B1" activePane="topRight" state="frozen"/>
      <selection activeCell="A4" sqref="A4"/>
      <selection pane="topRight" activeCell="A11" sqref="A11:XFD11"/>
    </sheetView>
  </sheetViews>
  <sheetFormatPr defaultRowHeight="15" x14ac:dyDescent="0.25"/>
  <cols>
    <col min="1" max="1" width="22.28515625" customWidth="1"/>
    <col min="2" max="2" width="21.140625" customWidth="1"/>
    <col min="3" max="3" width="20.85546875" customWidth="1"/>
    <col min="4" max="4" width="20" customWidth="1"/>
    <col min="5" max="5" width="21.7109375" customWidth="1"/>
    <col min="6" max="6" width="26.28515625" customWidth="1"/>
    <col min="7" max="7" width="25.7109375" customWidth="1"/>
    <col min="8" max="8" width="23" customWidth="1"/>
    <col min="9" max="9" width="15.7109375" customWidth="1"/>
    <col min="10" max="10" width="17.85546875" customWidth="1"/>
    <col min="11" max="11" width="17.7109375" customWidth="1"/>
    <col min="12" max="12" width="14.42578125" customWidth="1"/>
  </cols>
  <sheetData>
    <row r="1" spans="1:13" x14ac:dyDescent="0.25">
      <c r="M1" s="13" t="s">
        <v>168</v>
      </c>
    </row>
    <row r="2" spans="1:13" ht="26.25" x14ac:dyDescent="0.4">
      <c r="A2" s="9" t="s">
        <v>167</v>
      </c>
      <c r="B2" s="10"/>
      <c r="C2" s="10"/>
      <c r="D2" s="10"/>
      <c r="E2" s="10"/>
      <c r="F2" s="10"/>
    </row>
    <row r="3" spans="1:13" x14ac:dyDescent="0.25">
      <c r="M3" t="s">
        <v>169</v>
      </c>
    </row>
    <row r="4" spans="1:13" x14ac:dyDescent="0.25">
      <c r="A4" t="s">
        <v>148</v>
      </c>
      <c r="B4" t="s">
        <v>3</v>
      </c>
      <c r="C4" t="s">
        <v>4</v>
      </c>
      <c r="D4" t="s">
        <v>5</v>
      </c>
      <c r="E4" t="s">
        <v>150</v>
      </c>
      <c r="F4" t="s">
        <v>151</v>
      </c>
      <c r="G4" t="s">
        <v>8</v>
      </c>
      <c r="H4" t="s">
        <v>75</v>
      </c>
      <c r="I4" t="s">
        <v>9</v>
      </c>
      <c r="J4" t="s">
        <v>10</v>
      </c>
      <c r="K4" t="s">
        <v>11</v>
      </c>
      <c r="L4" t="s">
        <v>152</v>
      </c>
    </row>
    <row r="5" spans="1:13" hidden="1" x14ac:dyDescent="0.25"/>
    <row r="6" spans="1:13" x14ac:dyDescent="0.25">
      <c r="A6" s="3" t="s">
        <v>111</v>
      </c>
      <c r="B6" s="3">
        <v>9</v>
      </c>
      <c r="C6" s="3">
        <v>11</v>
      </c>
      <c r="D6" s="3">
        <v>5</v>
      </c>
      <c r="E6" s="3">
        <v>2</v>
      </c>
      <c r="F6" s="3">
        <v>6</v>
      </c>
      <c r="G6" s="3">
        <v>7</v>
      </c>
      <c r="H6" s="3">
        <v>7</v>
      </c>
      <c r="I6" s="3">
        <v>6</v>
      </c>
      <c r="J6" s="3">
        <v>5</v>
      </c>
      <c r="K6" s="3">
        <v>8</v>
      </c>
      <c r="L6" s="3">
        <f>SUM(Table5[[#This Row],[AMON NGULELE]:[OSKA MABIKA]])</f>
        <v>66</v>
      </c>
    </row>
    <row r="7" spans="1:13" x14ac:dyDescent="0.25">
      <c r="A7" t="s">
        <v>113</v>
      </c>
      <c r="B7">
        <v>8</v>
      </c>
      <c r="C7">
        <v>8</v>
      </c>
      <c r="D7">
        <v>4</v>
      </c>
      <c r="E7">
        <v>2</v>
      </c>
      <c r="F7">
        <v>7</v>
      </c>
      <c r="G7">
        <v>6</v>
      </c>
      <c r="H7">
        <v>6</v>
      </c>
      <c r="I7">
        <v>4</v>
      </c>
      <c r="J7">
        <v>4</v>
      </c>
      <c r="K7">
        <v>7</v>
      </c>
      <c r="L7" s="3">
        <f>SUM(Table5[[#This Row],[AMON NGULELE]:[OSKA MABIKA]])</f>
        <v>56</v>
      </c>
    </row>
    <row r="8" spans="1:13" x14ac:dyDescent="0.25">
      <c r="A8" t="s">
        <v>115</v>
      </c>
      <c r="B8">
        <v>9</v>
      </c>
      <c r="C8">
        <v>10</v>
      </c>
      <c r="D8">
        <v>3</v>
      </c>
      <c r="E8">
        <v>2</v>
      </c>
      <c r="F8">
        <v>6</v>
      </c>
      <c r="G8">
        <v>7</v>
      </c>
      <c r="H8">
        <v>7</v>
      </c>
      <c r="I8">
        <v>6</v>
      </c>
      <c r="J8">
        <v>5</v>
      </c>
      <c r="K8">
        <v>6</v>
      </c>
      <c r="L8" s="3">
        <f>SUM(Table5[[#This Row],[AMON NGULELE]:[OSKA MABIKA]])</f>
        <v>61</v>
      </c>
    </row>
    <row r="9" spans="1:13" x14ac:dyDescent="0.25">
      <c r="A9" t="s">
        <v>175</v>
      </c>
      <c r="B9">
        <v>4</v>
      </c>
      <c r="C9">
        <v>8</v>
      </c>
      <c r="D9">
        <v>4</v>
      </c>
      <c r="E9">
        <v>2</v>
      </c>
      <c r="F9">
        <v>6</v>
      </c>
      <c r="G9">
        <v>7</v>
      </c>
      <c r="H9">
        <v>7</v>
      </c>
      <c r="I9">
        <v>5</v>
      </c>
      <c r="J9">
        <v>3</v>
      </c>
      <c r="K9">
        <v>7</v>
      </c>
      <c r="L9" s="3">
        <f>SUM(Table5[[#This Row],[AMON NGULELE]:[OSKA MABIKA]])</f>
        <v>53</v>
      </c>
    </row>
    <row r="10" spans="1:13" x14ac:dyDescent="0.25">
      <c r="A10" t="s">
        <v>116</v>
      </c>
      <c r="B10">
        <v>4</v>
      </c>
      <c r="C10">
        <v>3</v>
      </c>
      <c r="D10">
        <v>5</v>
      </c>
      <c r="F10">
        <v>4</v>
      </c>
      <c r="G10">
        <v>6</v>
      </c>
      <c r="H10">
        <v>5</v>
      </c>
      <c r="J10">
        <v>5</v>
      </c>
      <c r="K10">
        <v>6</v>
      </c>
      <c r="L10" s="3">
        <f>SUM(Table5[[#This Row],[AMON NGULELE]:[OSKA MABIKA]])</f>
        <v>38</v>
      </c>
    </row>
    <row r="11" spans="1:13" x14ac:dyDescent="0.25">
      <c r="A11" t="s">
        <v>114</v>
      </c>
      <c r="B11">
        <v>5</v>
      </c>
      <c r="C11">
        <v>7</v>
      </c>
      <c r="D11">
        <v>2</v>
      </c>
      <c r="F11">
        <v>3</v>
      </c>
      <c r="G11">
        <v>2</v>
      </c>
      <c r="H11">
        <v>6</v>
      </c>
      <c r="I11">
        <v>3</v>
      </c>
      <c r="K11">
        <v>2</v>
      </c>
      <c r="L11" s="3">
        <f>SUM(Table5[[#This Row],[AMON NGULELE]:[OSKA MABIKA]])</f>
        <v>30</v>
      </c>
    </row>
    <row r="12" spans="1:13" x14ac:dyDescent="0.25">
      <c r="A12" t="s">
        <v>132</v>
      </c>
      <c r="B12">
        <v>2</v>
      </c>
      <c r="C12">
        <v>1</v>
      </c>
      <c r="E12">
        <v>1</v>
      </c>
      <c r="G12">
        <v>1</v>
      </c>
      <c r="H12">
        <v>2</v>
      </c>
      <c r="I12">
        <v>1</v>
      </c>
      <c r="J12">
        <v>3</v>
      </c>
      <c r="K12">
        <v>4</v>
      </c>
      <c r="L12" s="3">
        <f>SUM(Table5[[#This Row],[AMON NGULELE]:[OSKA MABIKA]])</f>
        <v>15</v>
      </c>
    </row>
    <row r="13" spans="1:13" x14ac:dyDescent="0.25">
      <c r="A13" t="s">
        <v>134</v>
      </c>
      <c r="C13">
        <v>4</v>
      </c>
      <c r="E13">
        <v>1</v>
      </c>
      <c r="G13">
        <v>1</v>
      </c>
      <c r="H13">
        <v>1</v>
      </c>
      <c r="I13">
        <v>1</v>
      </c>
      <c r="J13">
        <v>1</v>
      </c>
      <c r="L13" s="3">
        <f>SUM(Table5[[#This Row],[AMON NGULELE]:[OSKA MABIKA]])</f>
        <v>9</v>
      </c>
    </row>
    <row r="14" spans="1:13" x14ac:dyDescent="0.25">
      <c r="A14" t="s">
        <v>123</v>
      </c>
      <c r="B14">
        <v>1</v>
      </c>
      <c r="C14">
        <v>6</v>
      </c>
      <c r="G14">
        <v>1</v>
      </c>
      <c r="I14">
        <v>4</v>
      </c>
      <c r="K14">
        <v>1</v>
      </c>
      <c r="L14" s="3">
        <f>SUM(Table5[[#This Row],[AMON NGULELE]:[OSKA MABIKA]])</f>
        <v>13</v>
      </c>
    </row>
    <row r="15" spans="1:13" x14ac:dyDescent="0.25">
      <c r="A15" t="s">
        <v>131</v>
      </c>
      <c r="D15">
        <v>1</v>
      </c>
      <c r="F15">
        <v>1</v>
      </c>
      <c r="G15">
        <v>4</v>
      </c>
      <c r="H15">
        <v>2</v>
      </c>
      <c r="J15">
        <v>2</v>
      </c>
      <c r="K15">
        <v>1</v>
      </c>
      <c r="L15" s="3">
        <f>SUM(Table5[[#This Row],[AMON NGULELE]:[OSKA MABIKA]])</f>
        <v>11</v>
      </c>
    </row>
    <row r="16" spans="1:13" x14ac:dyDescent="0.25">
      <c r="G16" s="8"/>
      <c r="L16" s="3">
        <f>SUM(Table5[[#This Row],[AMON NGULELE]:[OSKA MABIKA]])</f>
        <v>0</v>
      </c>
    </row>
    <row r="17" spans="1:12" x14ac:dyDescent="0.25">
      <c r="G17" s="8"/>
      <c r="L17" s="3">
        <f>SUM(Table5[[#This Row],[AMON NGULELE]:[OSKA MABIKA]])</f>
        <v>0</v>
      </c>
    </row>
    <row r="18" spans="1:12" ht="31.5" x14ac:dyDescent="0.5">
      <c r="A18" s="15" t="s">
        <v>174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3">
        <f>SUM(Table5[[#This Row],[AMON NGULELE]:[OSKA MABIKA]])</f>
        <v>0</v>
      </c>
    </row>
    <row r="19" spans="1:12" x14ac:dyDescent="0.25">
      <c r="A19" t="s">
        <v>140</v>
      </c>
      <c r="F19">
        <v>3</v>
      </c>
      <c r="G19">
        <v>1</v>
      </c>
      <c r="L19" s="3">
        <f>SUM(Table5[[#This Row],[AMON NGULELE]:[OSKA MABIKA]])</f>
        <v>4</v>
      </c>
    </row>
    <row r="20" spans="1:12" x14ac:dyDescent="0.25">
      <c r="A20" t="s">
        <v>137</v>
      </c>
      <c r="B20">
        <v>1</v>
      </c>
      <c r="F20">
        <v>1</v>
      </c>
      <c r="L20" s="3">
        <f>SUM(Table5[[#This Row],[AMON NGULELE]:[OSKA MABIKA]])</f>
        <v>2</v>
      </c>
    </row>
    <row r="21" spans="1:12" x14ac:dyDescent="0.25">
      <c r="A21" t="s">
        <v>127</v>
      </c>
      <c r="D21">
        <v>1</v>
      </c>
      <c r="F21">
        <v>1</v>
      </c>
      <c r="K21">
        <v>1</v>
      </c>
      <c r="L21" s="3">
        <f>SUM(Table5[[#This Row],[AMON NGULELE]:[OSKA MABIKA]])</f>
        <v>3</v>
      </c>
    </row>
    <row r="22" spans="1:12" x14ac:dyDescent="0.25">
      <c r="A22" t="s">
        <v>138</v>
      </c>
      <c r="D22">
        <v>2</v>
      </c>
      <c r="F22">
        <v>1</v>
      </c>
      <c r="I22">
        <v>3</v>
      </c>
      <c r="L22" s="3">
        <f>SUM(Table5[[#This Row],[AMON NGULELE]:[OSKA MABIKA]])</f>
        <v>6</v>
      </c>
    </row>
    <row r="23" spans="1:12" x14ac:dyDescent="0.25">
      <c r="A23" t="s">
        <v>133</v>
      </c>
      <c r="H23">
        <v>1</v>
      </c>
      <c r="L23" s="3">
        <f>SUM(Table5[[#This Row],[AMON NGULELE]:[OSKA MABIKA]])</f>
        <v>1</v>
      </c>
    </row>
    <row r="24" spans="1:12" x14ac:dyDescent="0.25">
      <c r="A24" t="s">
        <v>136</v>
      </c>
      <c r="B24">
        <v>1</v>
      </c>
      <c r="L24" s="3">
        <f>SUM(Table5[[#This Row],[AMON NGULELE]:[OSKA MABIKA]])</f>
        <v>1</v>
      </c>
    </row>
    <row r="25" spans="1:12" x14ac:dyDescent="0.25">
      <c r="A25" t="s">
        <v>129</v>
      </c>
      <c r="K25">
        <v>1</v>
      </c>
      <c r="L25" s="3">
        <f>SUM(Table5[[#This Row],[AMON NGULELE]:[OSKA MABIKA]])</f>
        <v>1</v>
      </c>
    </row>
    <row r="26" spans="1:12" x14ac:dyDescent="0.25">
      <c r="A26" t="s">
        <v>139</v>
      </c>
      <c r="F26">
        <v>2</v>
      </c>
      <c r="L26" s="3">
        <f>SUM(Table5[[#This Row],[AMON NGULELE]:[OSKA MABIKA]])</f>
        <v>2</v>
      </c>
    </row>
    <row r="27" spans="1:12" x14ac:dyDescent="0.25">
      <c r="A27" t="s">
        <v>120</v>
      </c>
      <c r="B27">
        <v>1</v>
      </c>
      <c r="C27">
        <v>2</v>
      </c>
      <c r="L27" s="3">
        <f>SUM(Table5[[#This Row],[AMON NGULELE]:[OSKA MABIKA]])</f>
        <v>3</v>
      </c>
    </row>
    <row r="28" spans="1:12" x14ac:dyDescent="0.25">
      <c r="A28" t="s">
        <v>149</v>
      </c>
      <c r="C28">
        <v>3</v>
      </c>
      <c r="L28" s="3">
        <f>SUM(Table5[[#This Row],[AMON NGULELE]:[OSKA MABIKA]])</f>
        <v>3</v>
      </c>
    </row>
    <row r="29" spans="1:12" x14ac:dyDescent="0.25">
      <c r="A29" t="s">
        <v>135</v>
      </c>
      <c r="G29">
        <v>1</v>
      </c>
      <c r="L29" s="3">
        <f>SUM(Table5[[#This Row],[AMON NGULELE]:[OSKA MABIKA]])</f>
        <v>1</v>
      </c>
    </row>
    <row r="30" spans="1:12" x14ac:dyDescent="0.25">
      <c r="A30" t="s">
        <v>162</v>
      </c>
      <c r="B30">
        <v>1</v>
      </c>
      <c r="H30">
        <v>1</v>
      </c>
      <c r="L30" s="3">
        <f>SUM(Table5[[#This Row],[AMON NGULELE]:[OSKA MABIKA]])</f>
        <v>2</v>
      </c>
    </row>
    <row r="31" spans="1:12" x14ac:dyDescent="0.25">
      <c r="A31" t="s">
        <v>159</v>
      </c>
      <c r="I31">
        <v>1</v>
      </c>
      <c r="L31" s="3">
        <f>SUM(Table5[[#This Row],[AMON NGULELE]:[OSKA MABIKA]])</f>
        <v>1</v>
      </c>
    </row>
    <row r="32" spans="1:12" x14ac:dyDescent="0.25">
      <c r="A32" t="s">
        <v>170</v>
      </c>
      <c r="I32">
        <v>1</v>
      </c>
      <c r="L32" s="3">
        <f>SUM(Table5[[#This Row],[AMON NGULELE]:[OSKA MABIKA]])</f>
        <v>1</v>
      </c>
    </row>
    <row r="33" spans="1:12" x14ac:dyDescent="0.25">
      <c r="A33" t="s">
        <v>163</v>
      </c>
      <c r="J33">
        <v>2</v>
      </c>
      <c r="L33" s="3">
        <f>SUM(Table5[[#This Row],[AMON NGULELE]:[OSKA MABIKA]])</f>
        <v>2</v>
      </c>
    </row>
    <row r="34" spans="1:12" x14ac:dyDescent="0.25">
      <c r="A34" t="s">
        <v>171</v>
      </c>
      <c r="J34">
        <v>1</v>
      </c>
      <c r="L34" s="3">
        <f>SUM(Table5[[#This Row],[AMON NGULELE]:[OSKA MABIKA]])</f>
        <v>1</v>
      </c>
    </row>
    <row r="35" spans="1:12" x14ac:dyDescent="0.25">
      <c r="A35" t="s">
        <v>172</v>
      </c>
      <c r="F35">
        <v>2</v>
      </c>
      <c r="L35" s="3">
        <f>SUM(Table5[[#This Row],[AMON NGULELE]:[OSKA MABIKA]])</f>
        <v>2</v>
      </c>
    </row>
    <row r="36" spans="1:12" x14ac:dyDescent="0.25">
      <c r="A36" t="s">
        <v>154</v>
      </c>
      <c r="B36">
        <v>1</v>
      </c>
      <c r="L36" s="3">
        <f>SUM(Table5[[#This Row],[AMON NGULELE]:[OSKA MABIKA]])</f>
        <v>1</v>
      </c>
    </row>
    <row r="37" spans="1:12" x14ac:dyDescent="0.25">
      <c r="A37" t="s">
        <v>173</v>
      </c>
      <c r="E37">
        <v>1</v>
      </c>
      <c r="G37" s="8"/>
      <c r="L37" s="3">
        <f>SUM(Table5[[#This Row],[AMON NGULELE]:[OSKA MABIKA]])</f>
        <v>1</v>
      </c>
    </row>
    <row r="38" spans="1:12" x14ac:dyDescent="0.25">
      <c r="A38" t="s">
        <v>157</v>
      </c>
      <c r="G38" s="8">
        <v>1</v>
      </c>
      <c r="L38" s="3">
        <f>SUM(Table5[[#This Row],[AMON NGULELE]:[OSKA MABIKA]])</f>
        <v>1</v>
      </c>
    </row>
    <row r="39" spans="1:12" x14ac:dyDescent="0.25">
      <c r="A39" t="s">
        <v>158</v>
      </c>
      <c r="G39" s="8">
        <v>1</v>
      </c>
      <c r="L39" s="3">
        <f>SUM(Table5[[#This Row],[AMON NGULELE]:[OSKA MABIKA]])</f>
        <v>1</v>
      </c>
    </row>
    <row r="40" spans="1:12" hidden="1" x14ac:dyDescent="0.25">
      <c r="L40">
        <f>SUM(Table5[[#This Row],[AMON NGULELE]:[OSKA MABIKA]])</f>
        <v>0</v>
      </c>
    </row>
    <row r="41" spans="1:12" x14ac:dyDescent="0.25">
      <c r="A41" t="s">
        <v>176</v>
      </c>
      <c r="J41">
        <v>1</v>
      </c>
      <c r="L41" s="3">
        <f>SUM(Table5[[#This Row],[AMON NGULELE]:[OSKA MABIKA]])</f>
        <v>1</v>
      </c>
    </row>
    <row r="42" spans="1:12" x14ac:dyDescent="0.25">
      <c r="A42" t="s">
        <v>185</v>
      </c>
      <c r="F42">
        <v>1</v>
      </c>
      <c r="L42" s="3">
        <f>SUM(Table5[[#This Row],[AMON NGULELE]:[OSKA MABIKA]])</f>
        <v>1</v>
      </c>
    </row>
    <row r="43" spans="1:12" x14ac:dyDescent="0.25">
      <c r="A43" t="s">
        <v>178</v>
      </c>
      <c r="F43">
        <v>1</v>
      </c>
      <c r="L43" s="3">
        <f>SUM(Table5[[#This Row],[AMON NGULELE]:[OSKA MABIKA]])</f>
        <v>1</v>
      </c>
    </row>
    <row r="44" spans="1:12" x14ac:dyDescent="0.25">
      <c r="A44" t="s">
        <v>179</v>
      </c>
      <c r="F44">
        <v>1</v>
      </c>
      <c r="L44" s="3">
        <f>SUM(Table5[[#This Row],[AMON NGULELE]:[OSKA MABIKA]])</f>
        <v>1</v>
      </c>
    </row>
    <row r="45" spans="1:12" x14ac:dyDescent="0.25">
      <c r="A45" t="s">
        <v>186</v>
      </c>
      <c r="C45">
        <v>1</v>
      </c>
      <c r="G45" s="8"/>
      <c r="L45" s="3">
        <f>SUM(Table5[[#This Row],[AMON NGULELE]:[OSKA MABIKA]])</f>
        <v>1</v>
      </c>
    </row>
    <row r="46" spans="1:12" x14ac:dyDescent="0.25">
      <c r="A46" t="s">
        <v>187</v>
      </c>
      <c r="C46">
        <v>1</v>
      </c>
      <c r="G46" s="8"/>
      <c r="L46" s="3">
        <f>SUM(Table5[[#This Row],[AMON NGULELE]:[OSKA MABIKA]])</f>
        <v>1</v>
      </c>
    </row>
    <row r="47" spans="1:12" x14ac:dyDescent="0.25">
      <c r="A47" t="s">
        <v>188</v>
      </c>
      <c r="C47">
        <v>1</v>
      </c>
      <c r="G47" s="8"/>
      <c r="L47" s="3">
        <f>SUM(Table5[[#This Row],[AMON NGULELE]:[OSKA MABIKA]])</f>
        <v>1</v>
      </c>
    </row>
    <row r="48" spans="1:12" x14ac:dyDescent="0.25">
      <c r="A48" t="s">
        <v>184</v>
      </c>
      <c r="G48" s="8"/>
      <c r="H48">
        <v>1</v>
      </c>
      <c r="L48" s="3">
        <f>SUM(Table5[[#This Row],[AMON NGULELE]:[OSKA MABIKA]])</f>
        <v>1</v>
      </c>
    </row>
    <row r="49" spans="1:12" x14ac:dyDescent="0.25">
      <c r="A49" t="s">
        <v>189</v>
      </c>
      <c r="G49" s="8"/>
      <c r="I49">
        <v>1</v>
      </c>
      <c r="L49" s="3">
        <f>SUM(Table5[[#This Row],[AMON NGULELE]:[OSKA MABIKA]])</f>
        <v>1</v>
      </c>
    </row>
    <row r="50" spans="1:12" x14ac:dyDescent="0.25">
      <c r="A50" t="s">
        <v>190</v>
      </c>
      <c r="E50">
        <v>1</v>
      </c>
      <c r="G50" s="8"/>
      <c r="L50" s="3">
        <f>SUM(Table5[[#This Row],[AMON NGULELE]:[OSKA MABIKA]])</f>
        <v>1</v>
      </c>
    </row>
    <row r="51" spans="1:12" x14ac:dyDescent="0.25">
      <c r="A51" t="s">
        <v>194</v>
      </c>
      <c r="B51">
        <v>1</v>
      </c>
      <c r="G51" s="8"/>
      <c r="L51" s="3">
        <f>SUM(Table5[[#This Row],[AMON NGULELE]:[OSKA MABIKA]])</f>
        <v>1</v>
      </c>
    </row>
    <row r="52" spans="1:12" x14ac:dyDescent="0.25">
      <c r="A52" t="s">
        <v>197</v>
      </c>
      <c r="B52">
        <v>1</v>
      </c>
      <c r="G52" s="8"/>
      <c r="L52" s="3">
        <f>SUM(Table5[[#This Row],[AMON NGULELE]:[OSKA MABIKA]])</f>
        <v>1</v>
      </c>
    </row>
    <row r="53" spans="1:12" x14ac:dyDescent="0.25">
      <c r="A53" t="s">
        <v>196</v>
      </c>
      <c r="B53">
        <v>1</v>
      </c>
      <c r="G53" s="8"/>
      <c r="L53" s="3">
        <f>SUM(Table5[[#This Row],[AMON NGULELE]:[OSKA MABIKA]])</f>
        <v>1</v>
      </c>
    </row>
    <row r="54" spans="1:12" x14ac:dyDescent="0.25">
      <c r="A54" t="s">
        <v>198</v>
      </c>
      <c r="C54">
        <v>1</v>
      </c>
      <c r="G54" s="8"/>
      <c r="L54" s="3">
        <f>SUM(Table5[[#This Row],[AMON NGULELE]:[OSKA MABIKA]])</f>
        <v>1</v>
      </c>
    </row>
    <row r="55" spans="1:12" x14ac:dyDescent="0.25">
      <c r="A55" t="s">
        <v>199</v>
      </c>
      <c r="C55">
        <v>1</v>
      </c>
      <c r="G55" s="8"/>
      <c r="L55" s="14">
        <f>SUM(Table5[[#This Row],[AMON NGULELE]:[OSKA MABIKA]])</f>
        <v>1</v>
      </c>
    </row>
    <row r="56" spans="1:12" x14ac:dyDescent="0.25">
      <c r="A56" t="s">
        <v>221</v>
      </c>
      <c r="C56">
        <v>1</v>
      </c>
      <c r="G56" s="8"/>
      <c r="L56" s="14">
        <f>SUM(Table5[[#This Row],[AMON NGULELE]:[OSKA MABIKA]])</f>
        <v>1</v>
      </c>
    </row>
    <row r="57" spans="1:12" x14ac:dyDescent="0.25">
      <c r="A57" t="s">
        <v>201</v>
      </c>
      <c r="G57" s="8"/>
      <c r="I57">
        <v>1</v>
      </c>
      <c r="L57" s="14">
        <f>SUM(Table5[[#This Row],[AMON NGULELE]:[OSKA MABIKA]])</f>
        <v>1</v>
      </c>
    </row>
    <row r="58" spans="1:12" x14ac:dyDescent="0.25">
      <c r="A58" t="s">
        <v>222</v>
      </c>
      <c r="G58" s="8"/>
      <c r="I58">
        <v>1</v>
      </c>
      <c r="L58" s="14">
        <f>SUM(Table5[[#This Row],[AMON NGULELE]:[OSKA MABIKA]])</f>
        <v>1</v>
      </c>
    </row>
    <row r="59" spans="1:12" x14ac:dyDescent="0.25">
      <c r="A59" t="s">
        <v>203</v>
      </c>
      <c r="G59" s="8"/>
      <c r="I59">
        <v>1</v>
      </c>
      <c r="L59" s="14">
        <f>SUM(Table5[[#This Row],[AMON NGULELE]:[OSKA MABIKA]])</f>
        <v>1</v>
      </c>
    </row>
    <row r="60" spans="1:12" x14ac:dyDescent="0.25">
      <c r="A60" t="s">
        <v>204</v>
      </c>
      <c r="B60">
        <v>1</v>
      </c>
      <c r="G60" s="8"/>
      <c r="L60" s="14">
        <f>SUM(Table5[[#This Row],[AMON NGULELE]:[OSKA MABIKA]])</f>
        <v>1</v>
      </c>
    </row>
    <row r="61" spans="1:12" x14ac:dyDescent="0.25">
      <c r="A61" t="s">
        <v>223</v>
      </c>
      <c r="F61">
        <v>1</v>
      </c>
      <c r="G61" s="8"/>
      <c r="L61" s="14">
        <f>SUM(Table5[[#This Row],[AMON NGULELE]:[OSKA MABIKA]])</f>
        <v>1</v>
      </c>
    </row>
    <row r="62" spans="1:12" x14ac:dyDescent="0.25">
      <c r="A62" t="s">
        <v>224</v>
      </c>
      <c r="F62">
        <v>1</v>
      </c>
      <c r="G62" s="8"/>
      <c r="L62" s="14">
        <f>SUM(Table5[[#This Row],[AMON NGULELE]:[OSKA MABIKA]])</f>
        <v>1</v>
      </c>
    </row>
    <row r="63" spans="1:12" x14ac:dyDescent="0.25">
      <c r="A63" t="s">
        <v>207</v>
      </c>
      <c r="G63" s="8"/>
      <c r="H63">
        <v>1</v>
      </c>
      <c r="L63" s="14">
        <f>SUM(Table5[[#This Row],[AMON NGULELE]:[OSKA MABIKA]])</f>
        <v>1</v>
      </c>
    </row>
    <row r="64" spans="1:12" x14ac:dyDescent="0.25">
      <c r="A64" t="s">
        <v>208</v>
      </c>
      <c r="G64" s="8"/>
      <c r="K64">
        <v>1</v>
      </c>
      <c r="L64" s="14">
        <f>SUM(Table5[[#This Row],[AMON NGULELE]:[OSKA MABIKA]])</f>
        <v>1</v>
      </c>
    </row>
    <row r="65" spans="1:12" x14ac:dyDescent="0.25">
      <c r="A65" t="s">
        <v>209</v>
      </c>
      <c r="G65" s="8"/>
      <c r="K65">
        <v>1</v>
      </c>
      <c r="L65" s="14">
        <f>SUM(Table5[[#This Row],[AMON NGULELE]:[OSKA MABIKA]])</f>
        <v>1</v>
      </c>
    </row>
    <row r="66" spans="1:12" x14ac:dyDescent="0.25">
      <c r="A66" t="s">
        <v>225</v>
      </c>
      <c r="G66" s="8"/>
      <c r="J66">
        <v>1</v>
      </c>
      <c r="L66" s="14">
        <f>SUM(Table5[[#This Row],[AMON NGULELE]:[OSKA MABIKA]])</f>
        <v>1</v>
      </c>
    </row>
    <row r="67" spans="1:12" x14ac:dyDescent="0.25">
      <c r="A67" t="s">
        <v>211</v>
      </c>
      <c r="G67" s="8"/>
      <c r="J67">
        <v>1</v>
      </c>
      <c r="L67" s="14">
        <f>SUM(Table5[[#This Row],[AMON NGULELE]:[OSKA MABIKA]])</f>
        <v>1</v>
      </c>
    </row>
    <row r="68" spans="1:12" x14ac:dyDescent="0.25">
      <c r="A68" t="s">
        <v>226</v>
      </c>
      <c r="G68" s="8"/>
      <c r="H68">
        <v>1</v>
      </c>
      <c r="L68" s="14">
        <f>SUM(Table5[[#This Row],[AMON NGULELE]:[OSKA MABIKA]])</f>
        <v>1</v>
      </c>
    </row>
    <row r="69" spans="1:12" x14ac:dyDescent="0.25">
      <c r="A69" t="s">
        <v>227</v>
      </c>
      <c r="G69" s="8"/>
      <c r="K69">
        <v>1</v>
      </c>
      <c r="L69" s="14">
        <f>SUM(Table5[[#This Row],[AMON NGULELE]:[OSKA MABIKA]])</f>
        <v>1</v>
      </c>
    </row>
    <row r="70" spans="1:12" x14ac:dyDescent="0.25">
      <c r="A70" t="s">
        <v>228</v>
      </c>
      <c r="G70" s="8">
        <v>1</v>
      </c>
      <c r="L70" s="14">
        <f>SUM(Table5[[#This Row],[AMON NGULELE]:[OSKA MABIKA]])</f>
        <v>1</v>
      </c>
    </row>
    <row r="71" spans="1:12" x14ac:dyDescent="0.25">
      <c r="A71" t="s">
        <v>215</v>
      </c>
      <c r="G71" s="8">
        <v>1</v>
      </c>
      <c r="L71" s="14">
        <f>SUM(Table5[[#This Row],[AMON NGULELE]:[OSKA MABIKA]])</f>
        <v>1</v>
      </c>
    </row>
    <row r="72" spans="1:12" x14ac:dyDescent="0.25">
      <c r="A72" t="s">
        <v>217</v>
      </c>
      <c r="G72" s="8">
        <v>1</v>
      </c>
      <c r="L72" s="14">
        <f>SUM(Table5[[#This Row],[AMON NGULELE]:[OSKA MABIKA]])</f>
        <v>1</v>
      </c>
    </row>
    <row r="73" spans="1:12" x14ac:dyDescent="0.25">
      <c r="A73" t="s">
        <v>229</v>
      </c>
      <c r="D73">
        <v>1</v>
      </c>
      <c r="G73" s="8"/>
      <c r="L73" s="14">
        <f>SUM(Table5[[#This Row],[AMON NGULELE]:[OSKA MABIKA]])</f>
        <v>1</v>
      </c>
    </row>
    <row r="74" spans="1:12" x14ac:dyDescent="0.25">
      <c r="A74" t="s">
        <v>219</v>
      </c>
      <c r="D74">
        <v>2</v>
      </c>
      <c r="G74" s="8"/>
      <c r="L74" s="14">
        <f>SUM(Table5[[#This Row],[AMON NGULELE]:[OSKA MABIKA]])</f>
        <v>2</v>
      </c>
    </row>
    <row r="75" spans="1:12" ht="18.75" x14ac:dyDescent="0.3">
      <c r="A75" s="4" t="s">
        <v>152</v>
      </c>
      <c r="B75">
        <f>SUM(B6:B39)</f>
        <v>47</v>
      </c>
      <c r="C75">
        <f>SUM(C6:C39)</f>
        <v>63</v>
      </c>
      <c r="D75">
        <f>SUM(D6:D39)</f>
        <v>27</v>
      </c>
      <c r="E75">
        <f>SUM(E6:E39)</f>
        <v>11</v>
      </c>
      <c r="F75">
        <f>SUM(F6:F39)</f>
        <v>43</v>
      </c>
      <c r="G75">
        <f>SUM(G6:G39)</f>
        <v>46</v>
      </c>
      <c r="H75">
        <f>SUM(H6:H39)</f>
        <v>45</v>
      </c>
      <c r="I75">
        <f>SUM(I6:I39)</f>
        <v>35</v>
      </c>
      <c r="J75">
        <f>SUM(J6:J39)</f>
        <v>31</v>
      </c>
      <c r="K75">
        <f>SUM(K6:K39)</f>
        <v>44</v>
      </c>
      <c r="L75" s="3">
        <f>SUM(Table5[[#This Row],[AMON NGULELE]:[OSKA MABIKA]])</f>
        <v>392</v>
      </c>
    </row>
    <row r="76" spans="1:12" x14ac:dyDescent="0.25">
      <c r="G76" s="8"/>
      <c r="L76" s="14">
        <f>SUM(Table5[[#This Row],[AMON NGULELE]:[OSKA MABIKA]])</f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88" zoomScale="90" zoomScaleNormal="90" workbookViewId="0">
      <selection activeCell="F112" sqref="F11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"/>
  <sheetViews>
    <sheetView topLeftCell="A2" workbookViewId="0">
      <selection activeCell="O9" sqref="O9"/>
    </sheetView>
  </sheetViews>
  <sheetFormatPr defaultRowHeight="15" x14ac:dyDescent="0.25"/>
  <sheetData>
    <row r="2" spans="1:1" ht="26.25" x14ac:dyDescent="0.4">
      <c r="A2" s="11" t="s">
        <v>153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B1" zoomScale="90" zoomScaleNormal="90" workbookViewId="0">
      <selection activeCell="R36" sqref="R36"/>
    </sheetView>
  </sheetViews>
  <sheetFormatPr defaultRowHeight="15" x14ac:dyDescent="0.25"/>
  <sheetData>
    <row r="1" spans="1:1" ht="28.5" x14ac:dyDescent="0.45">
      <c r="A1" s="12" t="s">
        <v>191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P9" sqref="P9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BRANCH NOMI</vt:lpstr>
      <vt:lpstr>TOTAL IN ZONES</vt:lpstr>
      <vt:lpstr>PIE PER ZONE</vt:lpstr>
      <vt:lpstr>OVERAL PIE</vt:lpstr>
      <vt:lpstr>OVERAL GRAPH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Admin2023</dc:creator>
  <cp:lastModifiedBy>Admin2023</cp:lastModifiedBy>
  <dcterms:created xsi:type="dcterms:W3CDTF">2026-06-08T12:40:49Z</dcterms:created>
  <dcterms:modified xsi:type="dcterms:W3CDTF">2026-07-30T16:17:08Z</dcterms:modified>
</cp:coreProperties>
</file>